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8_{9DEC3541-4B5D-4D85-9F8C-94CEBEDD87AA}" xr6:coauthVersionLast="47" xr6:coauthVersionMax="47" xr10:uidLastSave="{00000000-0000-0000-0000-000000000000}"/>
  <bookViews>
    <workbookView xWindow="10188" yWindow="0" windowWidth="12948" windowHeight="12336" firstSheet="2" activeTab="2" xr2:uid="{00000000-000D-0000-FFFF-FFFF00000000}"/>
  </bookViews>
  <sheets>
    <sheet name="READ ME" sheetId="7" r:id="rId1"/>
    <sheet name="Regional Exploration Data" sheetId="1" r:id="rId2"/>
    <sheet name="Data Visualization" sheetId="3" r:id="rId3"/>
  </sheets>
  <calcPr calcId="191029"/>
  <pivotCaches>
    <pivotCache cacheId="48"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M4" i="1"/>
  <c r="M3"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M13" i="1"/>
  <c r="M10" i="1"/>
  <c r="M7" i="1"/>
</calcChain>
</file>

<file path=xl/sharedStrings.xml><?xml version="1.0" encoding="utf-8"?>
<sst xmlns="http://schemas.openxmlformats.org/spreadsheetml/2006/main" count="280" uniqueCount="196">
  <si>
    <t>field_id</t>
  </si>
  <si>
    <t>field_name</t>
  </si>
  <si>
    <t>environment_type</t>
  </si>
  <si>
    <t>reserves_mmboe</t>
  </si>
  <si>
    <t>peak_production_bopd</t>
  </si>
  <si>
    <t>capex_usd_million</t>
  </si>
  <si>
    <t>opex_usd_per_bbl</t>
  </si>
  <si>
    <t>project_npv_million</t>
  </si>
  <si>
    <t>project_irr</t>
  </si>
  <si>
    <t>payback_period_years</t>
  </si>
  <si>
    <t>PHE-001</t>
  </si>
  <si>
    <t>Badak-10 (Offshore)</t>
  </si>
  <si>
    <t>Offshore</t>
  </si>
  <si>
    <t>PHE-002</t>
  </si>
  <si>
    <t>Sembilang-11 (Offshore)</t>
  </si>
  <si>
    <t>PHE-003</t>
  </si>
  <si>
    <t>Gamma-12 (Offshore)</t>
  </si>
  <si>
    <t>PHE-004</t>
  </si>
  <si>
    <t>Badak-13 (Offshore)</t>
  </si>
  <si>
    <t>PHE-005</t>
  </si>
  <si>
    <t>Mahakam-14 (Offshore)</t>
  </si>
  <si>
    <t>PHE-006</t>
  </si>
  <si>
    <t>Beta-15 (Offshore)</t>
  </si>
  <si>
    <t>PHE-007</t>
  </si>
  <si>
    <t>Omega-16 (Onshore)</t>
  </si>
  <si>
    <t>Onshore</t>
  </si>
  <si>
    <t>PHE-008</t>
  </si>
  <si>
    <t>Epsilon-17 (Onshore)</t>
  </si>
  <si>
    <t>PHE-009</t>
  </si>
  <si>
    <t>Omega-18 (Offshore)</t>
  </si>
  <si>
    <t>PHE-010</t>
  </si>
  <si>
    <t>Banyu_Urip-19 (Offshore)</t>
  </si>
  <si>
    <t>PHE-011</t>
  </si>
  <si>
    <t>Alpha-20 (Onshore)</t>
  </si>
  <si>
    <t>PHE-012</t>
  </si>
  <si>
    <t>Banyu_Urip-21 (Offshore)</t>
  </si>
  <si>
    <t>PHE-013</t>
  </si>
  <si>
    <t>Gamma-22 (Onshore)</t>
  </si>
  <si>
    <t>PHE-014</t>
  </si>
  <si>
    <t>Arjuna-23 (Onshore)</t>
  </si>
  <si>
    <t>PHE-015</t>
  </si>
  <si>
    <t>Sembilang-24 (Onshore)</t>
  </si>
  <si>
    <t>PHE-016</t>
  </si>
  <si>
    <t>Delta-25 (Offshore)</t>
  </si>
  <si>
    <t>PHE-017</t>
  </si>
  <si>
    <t>Banyu_Urip-26 (Onshore)</t>
  </si>
  <si>
    <t>PHE-018</t>
  </si>
  <si>
    <t>Arjuna-27 (Offshore)</t>
  </si>
  <si>
    <t>PHE-019</t>
  </si>
  <si>
    <t>Epsilon-28 (Offshore)</t>
  </si>
  <si>
    <t>PHE-020</t>
  </si>
  <si>
    <t>Delta-29 (Offshore)</t>
  </si>
  <si>
    <t>PHE-021</t>
  </si>
  <si>
    <t>Banyu_Urip-30 (Onshore)</t>
  </si>
  <si>
    <t>PHE-022</t>
  </si>
  <si>
    <t>Mahakam-31 (Offshore)</t>
  </si>
  <si>
    <t>PHE-023</t>
  </si>
  <si>
    <t>Alpha-32 (Onshore)</t>
  </si>
  <si>
    <t>PHE-024</t>
  </si>
  <si>
    <t>Beta-33 (Onshore)</t>
  </si>
  <si>
    <t>PHE-025</t>
  </si>
  <si>
    <t>Delta-34 (Offshore)</t>
  </si>
  <si>
    <t>PHE-026</t>
  </si>
  <si>
    <t>Beta-35 (Offshore)</t>
  </si>
  <si>
    <t>PHE-027</t>
  </si>
  <si>
    <t>Banyu_Urip-36 (Offshore)</t>
  </si>
  <si>
    <t>PHE-028</t>
  </si>
  <si>
    <t>Widuri-37 (Offshore)</t>
  </si>
  <si>
    <t>PHE-029</t>
  </si>
  <si>
    <t>Mahakam-38 (Onshore)</t>
  </si>
  <si>
    <t>PHE-030</t>
  </si>
  <si>
    <t>Arjuna-39 (Offshore)</t>
  </si>
  <si>
    <t>PHE-031</t>
  </si>
  <si>
    <t>Beta-40 (Offshore)</t>
  </si>
  <si>
    <t>PHE-032</t>
  </si>
  <si>
    <t>Mahakam-41 (Offshore)</t>
  </si>
  <si>
    <t>PHE-033</t>
  </si>
  <si>
    <t>Arjuna-42 (Offshore)</t>
  </si>
  <si>
    <t>PHE-034</t>
  </si>
  <si>
    <t>Banyu_Urip-43 (Onshore)</t>
  </si>
  <si>
    <t>PHE-035</t>
  </si>
  <si>
    <t>Alpha-44 (Onshore)</t>
  </si>
  <si>
    <t>PHE-036</t>
  </si>
  <si>
    <t>Mahakam-45 (Onshore)</t>
  </si>
  <si>
    <t>PHE-037</t>
  </si>
  <si>
    <t>Gamma-46 (Offshore)</t>
  </si>
  <si>
    <t>PHE-038</t>
  </si>
  <si>
    <t>Gamma-47 (Offshore)</t>
  </si>
  <si>
    <t>PHE-039</t>
  </si>
  <si>
    <t>Widuri-48 (Offshore)</t>
  </si>
  <si>
    <t>PHE-040</t>
  </si>
  <si>
    <t>Arjuna-49 (Offshore)</t>
  </si>
  <si>
    <t>PHE-041</t>
  </si>
  <si>
    <t>Sembilang-50 (Offshore)</t>
  </si>
  <si>
    <t>PHE-042</t>
  </si>
  <si>
    <t>Beta-51 (Onshore)</t>
  </si>
  <si>
    <t>PHE-043</t>
  </si>
  <si>
    <t>Gamma-52 (Offshore)</t>
  </si>
  <si>
    <t>PHE-044</t>
  </si>
  <si>
    <t>Mahakam-53 (Onshore)</t>
  </si>
  <si>
    <t>PHE-045</t>
  </si>
  <si>
    <t>Alpha-54 (Onshore)</t>
  </si>
  <si>
    <t>PHE-046</t>
  </si>
  <si>
    <t>Alpha-55 (Offshore)</t>
  </si>
  <si>
    <t>PHE-047</t>
  </si>
  <si>
    <t>Arjuna-56 (Offshore)</t>
  </si>
  <si>
    <t>PHE-048</t>
  </si>
  <si>
    <t>Widuri-57 (Offshore)</t>
  </si>
  <si>
    <t>PHE-049</t>
  </si>
  <si>
    <t>Gamma-58 (Onshore)</t>
  </si>
  <si>
    <t>PHE-050</t>
  </si>
  <si>
    <t>Delta-59 (Onshore)</t>
  </si>
  <si>
    <t>PHE-051</t>
  </si>
  <si>
    <t>Epsilon-60 (Onshore)</t>
  </si>
  <si>
    <t>PHE-052</t>
  </si>
  <si>
    <t>Badak-61 (Offshore)</t>
  </si>
  <si>
    <t>PHE-053</t>
  </si>
  <si>
    <t>Delta-62 (Offshore)</t>
  </si>
  <si>
    <t>PHE-054</t>
  </si>
  <si>
    <t>Sembilang-63 (Offshore)</t>
  </si>
  <si>
    <t>PHE-055</t>
  </si>
  <si>
    <t>Gamma-64 (Onshore)</t>
  </si>
  <si>
    <t>PHE-056</t>
  </si>
  <si>
    <t>Widuri-65 (Offshore)</t>
  </si>
  <si>
    <t>PHE-057</t>
  </si>
  <si>
    <t>Arjuna-66 (Offshore)</t>
  </si>
  <si>
    <t>PHE-058</t>
  </si>
  <si>
    <t>Omega-67 (Offshore)</t>
  </si>
  <si>
    <t>PHE-059</t>
  </si>
  <si>
    <t>Banyu_Urip-68 (Onshore)</t>
  </si>
  <si>
    <t>PHE-060</t>
  </si>
  <si>
    <t>Badak-69 (Onshore)</t>
  </si>
  <si>
    <t>Reserves Average =</t>
  </si>
  <si>
    <t xml:space="preserve">Highest NPV= </t>
  </si>
  <si>
    <t>Lowest NPV=</t>
  </si>
  <si>
    <t>Feasibility Status</t>
  </si>
  <si>
    <t>Grand Total</t>
  </si>
  <si>
    <t>Count of field_id</t>
  </si>
  <si>
    <t>Approved for FID</t>
  </si>
  <si>
    <t>Reject / Redesign</t>
  </si>
  <si>
    <t>0-50</t>
  </si>
  <si>
    <t>50-100</t>
  </si>
  <si>
    <t>100-150</t>
  </si>
  <si>
    <t>Environment Type</t>
  </si>
  <si>
    <t>Total Projects</t>
  </si>
  <si>
    <t>Total CAPEX (USD Million)</t>
  </si>
  <si>
    <t/>
  </si>
  <si>
    <t>Regional Breakdown</t>
  </si>
  <si>
    <t>Avg. IRR (%)</t>
  </si>
  <si>
    <t>Avg. Payback Period (Yrs)</t>
  </si>
  <si>
    <t>Reserves Scale (MMBOE)</t>
  </si>
  <si>
    <t>Avg. OPEX (USD/bbl)</t>
  </si>
  <si>
    <t>Total NPV (USD Million)</t>
  </si>
  <si>
    <t>Approved For FID</t>
  </si>
  <si>
    <t>Regional Asset Distribution by Operational Environment</t>
  </si>
  <si>
    <t>Investment Feasibility Matrix</t>
  </si>
  <si>
    <t>Financial Performance &amp; Risk Metrics</t>
  </si>
  <si>
    <t>Portfolio Cost Efficiency &amp; Profitability</t>
  </si>
  <si>
    <t>📑 PROJECT DOCUMENTATION &amp; README</t>
  </si>
  <si>
    <t>1. Project Overview</t>
  </si>
  <si>
    <r>
      <t>Project Name:</t>
    </r>
    <r>
      <rPr>
        <sz val="11"/>
        <color theme="1"/>
        <rFont val="Arial"/>
        <family val="2"/>
      </rPr>
      <t xml:space="preserve"> Regional Exploration &amp; Production (E&amp;P) Portfolio Analysis</t>
    </r>
  </si>
  <si>
    <r>
      <t>Objective:</t>
    </r>
    <r>
      <rPr>
        <sz val="11"/>
        <color theme="1"/>
        <rFont val="Arial"/>
        <family val="2"/>
      </rPr>
      <t xml:space="preserve"> To evaluate the financial feasibility, cost efficiency, and commercial viability of a 60-field upstream oil and gas exploration portfolio across onshore and offshore environments.</t>
    </r>
  </si>
  <si>
    <t>2. Important Notice (Data Source)</t>
  </si>
  <si>
    <r>
      <t xml:space="preserve">⚠️ </t>
    </r>
    <r>
      <rPr>
        <b/>
        <sz val="11"/>
        <color theme="1"/>
        <rFont val="Arial"/>
        <family val="2"/>
      </rPr>
      <t>DISCLAIMER &amp; DATA INTEGRITY</t>
    </r>
  </si>
  <si>
    <t>3. Dataset Architecture &amp; Glossary</t>
  </si>
  <si>
    <t>Berikut adalah penjelasan matriks/kolom yang digunakan dalam analisis ini:</t>
  </si>
  <si>
    <t>Variable Name</t>
  </si>
  <si>
    <t>Unit</t>
  </si>
  <si>
    <t>Description</t>
  </si>
  <si>
    <t>Text</t>
  </si>
  <si>
    <t>Unique identifier for each exploration field/asset.</t>
  </si>
  <si>
    <r>
      <t>Operational setting of the field (</t>
    </r>
    <r>
      <rPr>
        <b/>
        <sz val="11"/>
        <color theme="1"/>
        <rFont val="Arial"/>
        <family val="2"/>
      </rPr>
      <t>Onshore</t>
    </r>
    <r>
      <rPr>
        <sz val="11"/>
        <color theme="1"/>
        <rFont val="Arial"/>
        <family val="2"/>
      </rPr>
      <t xml:space="preserve"> / </t>
    </r>
    <r>
      <rPr>
        <b/>
        <sz val="11"/>
        <color theme="1"/>
        <rFont val="Arial"/>
        <family val="2"/>
      </rPr>
      <t>Offshore</t>
    </r>
    <r>
      <rPr>
        <sz val="11"/>
        <color theme="1"/>
        <rFont val="Arial"/>
        <family val="2"/>
      </rPr>
      <t>).</t>
    </r>
  </si>
  <si>
    <t>MMBOE</t>
  </si>
  <si>
    <r>
      <t xml:space="preserve">Estimated recoverable resources in </t>
    </r>
    <r>
      <rPr>
        <b/>
        <sz val="11"/>
        <color theme="1"/>
        <rFont val="Arial"/>
        <family val="2"/>
      </rPr>
      <t>Million Barrels of Oil Equivalent</t>
    </r>
    <r>
      <rPr>
        <sz val="11"/>
        <color theme="1"/>
        <rFont val="Arial"/>
        <family val="2"/>
      </rPr>
      <t>.</t>
    </r>
  </si>
  <si>
    <t>USD (M)</t>
  </si>
  <si>
    <r>
      <t>Capital Expenditure</t>
    </r>
    <r>
      <rPr>
        <sz val="11"/>
        <color theme="1"/>
        <rFont val="Arial"/>
        <family val="2"/>
      </rPr>
      <t>: Upfront capital required for field development.</t>
    </r>
  </si>
  <si>
    <t>USD/bbl</t>
  </si>
  <si>
    <r>
      <t>Operating Expenditure</t>
    </r>
    <r>
      <rPr>
        <sz val="11"/>
        <color theme="1"/>
        <rFont val="Arial"/>
        <family val="2"/>
      </rPr>
      <t>: Ongoing lifting cost per barrel produced.</t>
    </r>
  </si>
  <si>
    <t>%</t>
  </si>
  <si>
    <r>
      <t>Internal Rate of Return</t>
    </r>
    <r>
      <rPr>
        <sz val="11"/>
        <color theme="1"/>
        <rFont val="Arial"/>
        <family val="2"/>
      </rPr>
      <t>: Expected annualized return of the project.</t>
    </r>
  </si>
  <si>
    <t>Years</t>
  </si>
  <si>
    <t>Duration required to recover the initial capital investment.</t>
  </si>
  <si>
    <r>
      <t>Net Present Value</t>
    </r>
    <r>
      <rPr>
        <sz val="11"/>
        <color theme="1"/>
        <rFont val="Arial"/>
        <family val="2"/>
      </rPr>
      <t>: Total projected net financial value created.</t>
    </r>
  </si>
  <si>
    <t>feasibility_status</t>
  </si>
  <si>
    <r>
      <t>Screening outcome based on corporate hurdles (</t>
    </r>
    <r>
      <rPr>
        <b/>
        <sz val="11"/>
        <color theme="1"/>
        <rFont val="Arial"/>
        <family val="2"/>
      </rPr>
      <t>Approved for FID</t>
    </r>
    <r>
      <rPr>
        <sz val="11"/>
        <color theme="1"/>
        <rFont val="Arial"/>
        <family val="2"/>
      </rPr>
      <t xml:space="preserve"> / </t>
    </r>
    <r>
      <rPr>
        <b/>
        <sz val="11"/>
        <color theme="1"/>
        <rFont val="Arial"/>
        <family val="2"/>
      </rPr>
      <t>Reject / Redesign</t>
    </r>
    <r>
      <rPr>
        <sz val="11"/>
        <color theme="1"/>
        <rFont val="Arial"/>
        <family val="2"/>
      </rPr>
      <t>).</t>
    </r>
  </si>
  <si>
    <t>4. Executive Summary of Analytics Dashboard</t>
  </si>
  <si>
    <t>Spreadsheet ini dilengkapi dengan 4 tabel Pivot dan Visualisasi Utama:</t>
  </si>
  <si>
    <r>
      <t>1. Table 1 (Asset Distribution):</t>
    </r>
    <r>
      <rPr>
        <sz val="11"/>
        <color theme="1"/>
        <rFont val="Arial"/>
        <family val="2"/>
      </rPr>
      <t xml:space="preserve"> Displays the macroeconomic split of projects between Onshore and Offshore environments.</t>
    </r>
  </si>
  <si>
    <r>
      <t>2. Table 2 (Feasibility Matrix):</t>
    </r>
    <r>
      <rPr>
        <sz val="11"/>
        <color theme="1"/>
        <rFont val="Arial"/>
        <family val="2"/>
      </rPr>
      <t xml:space="preserve"> Maps out the commercial success rate and FID approval distributions.</t>
    </r>
  </si>
  <si>
    <r>
      <t>3. Table 3 (Financial &amp; Risk Performance):</t>
    </r>
    <r>
      <rPr>
        <sz val="11"/>
        <color theme="1"/>
        <rFont val="Arial"/>
        <family val="2"/>
      </rPr>
      <t xml:space="preserve"> Evaluates the stark contrast in IRR and capital recovery velocity between approved and rejected assets.</t>
    </r>
  </si>
  <si>
    <r>
      <t>4. Table 4 (Reserves Scale Sensitivity):</t>
    </r>
    <r>
      <rPr>
        <sz val="11"/>
        <color theme="1"/>
        <rFont val="Arial"/>
        <family val="2"/>
      </rPr>
      <t xml:space="preserve"> Analyzes economies of scale, proving how mega-prospects (100–150 MMBOE) act as the primary engines of profitability despite high CAPEX.</t>
    </r>
  </si>
  <si>
    <r>
      <t xml:space="preserve">All data utilized in this spreadsheet is </t>
    </r>
    <r>
      <rPr>
        <b/>
        <sz val="11"/>
        <color theme="1"/>
        <rFont val="Arial"/>
        <family val="2"/>
      </rPr>
      <t xml:space="preserve">100% synthetic </t>
    </r>
    <r>
      <rPr>
        <sz val="11"/>
        <color theme="1"/>
        <rFont val="Arial"/>
        <family val="2"/>
      </rPr>
      <t>for project portfolio and demonstration purposes only. It does not reflect the actual reserves, financial metrics, or operational data of any specific corporate entity or real-world oil and gas fields.</t>
    </r>
  </si>
  <si>
    <t>USING MAX FUNCTION</t>
  </si>
  <si>
    <t>USING MIN FUNCTION</t>
  </si>
  <si>
    <t>USING AVG FUNCTION</t>
  </si>
  <si>
    <t>INDEX-MATCH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</si>
</sst>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5" formatCode="_-* #,##0_-;\-* #,##0_-;_-* &quot;-&quot;??_-;_-@_-"/>
    <numFmt numFmtId="166" formatCode="_-[$$-409]* #,##0.00_ ;_-[$$-409]* \-#,##0.00\ ;_-[$$-409]* &quot;-&quot;??_ ;_-@_ "/>
    <numFmt numFmtId="173" formatCode="0.0"/>
  </numFmts>
  <fonts count="8"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24"/>
      <color theme="1"/>
      <name val="Arial"/>
      <family val="2"/>
    </font>
    <font>
      <b/>
      <sz val="13.5"/>
      <color theme="1"/>
      <name val="Arial"/>
      <family val="2"/>
    </font>
    <font>
      <sz val="11"/>
      <color theme="1"/>
      <name val="Arial"/>
      <family val="2"/>
    </font>
    <font>
      <b/>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style="medium">
        <color rgb="FFC4C7C5"/>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41">
    <xf numFmtId="0" fontId="0" fillId="0" borderId="0" xfId="0"/>
    <xf numFmtId="0" fontId="1" fillId="0" borderId="1" xfId="0" applyFont="1" applyBorder="1" applyAlignment="1">
      <alignment horizontal="center" vertical="top"/>
    </xf>
    <xf numFmtId="9" fontId="1" fillId="0" borderId="1" xfId="2" applyFont="1" applyBorder="1" applyAlignment="1">
      <alignment horizontal="center" vertical="top"/>
    </xf>
    <xf numFmtId="9" fontId="0" fillId="0" borderId="0" xfId="2" applyFont="1"/>
    <xf numFmtId="165" fontId="1" fillId="0" borderId="1" xfId="1" applyNumberFormat="1" applyFont="1" applyBorder="1" applyAlignment="1">
      <alignment horizontal="center" vertical="top"/>
    </xf>
    <xf numFmtId="165" fontId="0" fillId="0" borderId="0" xfId="1" applyNumberFormat="1" applyFont="1"/>
    <xf numFmtId="166" fontId="1" fillId="0" borderId="1" xfId="0" applyNumberFormat="1" applyFont="1" applyBorder="1" applyAlignment="1">
      <alignment horizontal="center" vertical="top"/>
    </xf>
    <xf numFmtId="166" fontId="0" fillId="0" borderId="0" xfId="0" applyNumberFormat="1"/>
    <xf numFmtId="0" fontId="3" fillId="0" borderId="0" xfId="0" applyFont="1"/>
    <xf numFmtId="0" fontId="0" fillId="0" borderId="0" xfId="0" applyAlignment="1">
      <alignment horizontal="center" vertical="center"/>
    </xf>
    <xf numFmtId="0" fontId="0" fillId="0" borderId="0" xfId="0" pivotButton="1" applyAlignment="1">
      <alignment horizontal="center" vertical="center"/>
    </xf>
    <xf numFmtId="0" fontId="0" fillId="0" borderId="0" xfId="0" applyNumberFormat="1" applyAlignment="1">
      <alignment horizontal="center" vertical="center"/>
    </xf>
    <xf numFmtId="0" fontId="0" fillId="0" borderId="0" xfId="0" pivotButton="1" applyAlignment="1">
      <alignment horizontal="center" vertical="center" wrapText="1"/>
    </xf>
    <xf numFmtId="9" fontId="0" fillId="0" borderId="0" xfId="0" applyNumberFormat="1" applyAlignment="1">
      <alignment horizontal="center" vertical="center"/>
    </xf>
    <xf numFmtId="173" fontId="0" fillId="0" borderId="0" xfId="0" applyNumberFormat="1"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indent="1"/>
    </xf>
    <xf numFmtId="0" fontId="7" fillId="0" borderId="0" xfId="0" applyFont="1" applyAlignment="1">
      <alignment horizontal="left" vertical="center" indent="1"/>
    </xf>
    <xf numFmtId="0" fontId="6" fillId="0" borderId="0" xfId="0" applyFont="1" applyAlignment="1">
      <alignment horizontal="left" vertical="center" indent="1"/>
    </xf>
    <xf numFmtId="0" fontId="6" fillId="0" borderId="0" xfId="0" applyFont="1" applyAlignment="1">
      <alignment vertical="center"/>
    </xf>
    <xf numFmtId="0" fontId="5" fillId="2" borderId="0" xfId="0" applyFont="1" applyFill="1" applyAlignment="1">
      <alignment vertical="center"/>
    </xf>
    <xf numFmtId="0" fontId="4" fillId="2" borderId="0" xfId="0" applyFont="1" applyFill="1" applyAlignment="1">
      <alignment vertical="center"/>
    </xf>
    <xf numFmtId="0" fontId="0" fillId="2" borderId="0" xfId="0" applyFill="1"/>
    <xf numFmtId="0" fontId="6" fillId="2" borderId="0" xfId="0" applyFont="1" applyFill="1" applyAlignment="1">
      <alignment horizontal="left" vertical="center" indent="1"/>
    </xf>
    <xf numFmtId="0" fontId="7"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0" xfId="0" applyFont="1" applyBorder="1" applyAlignment="1">
      <alignment horizontal="center" vertical="center" wrapText="1"/>
    </xf>
    <xf numFmtId="0" fontId="6" fillId="0" borderId="0" xfId="0" applyFont="1" applyBorder="1" applyAlignment="1">
      <alignment horizontal="center" vertical="center" wrapText="1"/>
    </xf>
    <xf numFmtId="166" fontId="0" fillId="0" borderId="0" xfId="0" applyNumberFormat="1"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166" fontId="0" fillId="4" borderId="0" xfId="0" applyNumberFormat="1" applyFill="1" applyAlignment="1">
      <alignment horizontal="center" vertical="center"/>
    </xf>
    <xf numFmtId="0" fontId="0" fillId="4" borderId="0" xfId="0" applyFill="1" applyAlignment="1">
      <alignment horizontal="center" vertical="center"/>
    </xf>
    <xf numFmtId="166" fontId="0" fillId="5" borderId="0" xfId="0" applyNumberFormat="1" applyFill="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7" borderId="0" xfId="0" applyFill="1"/>
    <xf numFmtId="0" fontId="0" fillId="8" borderId="0" xfId="0" applyFill="1"/>
  </cellXfs>
  <cellStyles count="3">
    <cellStyle name="Comma" xfId="1" builtinId="3"/>
    <cellStyle name="Normal" xfId="0" builtinId="0"/>
    <cellStyle name="Percent" xfId="2" builtinId="5"/>
  </cellStyles>
  <dxfs count="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wrapText="1"/>
    </dxf>
    <dxf>
      <alignment wrapText="1"/>
    </dxf>
    <dxf>
      <numFmt numFmtId="173"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[PHE_Regional_Exploration_Data_60_Rows.xlsx]Data Visualization!PivotTable2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Regional Asset Distribution by Operational Environment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5574465540042131E-2"/>
                  <c:h val="7.8740157480314946E-2"/>
                </c:manualLayout>
              </c15:layout>
            </c:ext>
          </c:extLst>
        </c:dLbl>
      </c:pivotFmt>
    </c:pivotFmts>
    <c:plotArea>
      <c:layout/>
      <c:doughnutChart>
        <c:varyColors val="1"/>
        <c:ser>
          <c:idx val="0"/>
          <c:order val="0"/>
          <c:tx>
            <c:strRef>
              <c:f>'Data Visualization'!$B$3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A1-4735-BF7F-E2A4959CF38B}"/>
              </c:ext>
            </c:extLst>
          </c:dPt>
          <c:dLbls>
            <c:dLbl>
              <c:idx val="1"/>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5574465540042131E-2"/>
                      <c:h val="7.8740157480314946E-2"/>
                    </c:manualLayout>
                  </c15:layout>
                </c:ext>
                <c:ext xmlns:c16="http://schemas.microsoft.com/office/drawing/2014/chart" uri="{C3380CC4-5D6E-409C-BE32-E72D297353CC}">
                  <c16:uniqueId val="{00000003-AAA1-4735-BF7F-E2A4959CF38B}"/>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Visualization'!$A$4:$A$6</c:f>
              <c:strCache>
                <c:ptCount val="2"/>
                <c:pt idx="0">
                  <c:v>Offshore</c:v>
                </c:pt>
                <c:pt idx="1">
                  <c:v>Onshore</c:v>
                </c:pt>
              </c:strCache>
            </c:strRef>
          </c:cat>
          <c:val>
            <c:numRef>
              <c:f>'Data Visualization'!$B$4:$B$6</c:f>
              <c:numCache>
                <c:formatCode>General</c:formatCode>
                <c:ptCount val="2"/>
                <c:pt idx="0">
                  <c:v>37</c:v>
                </c:pt>
                <c:pt idx="1">
                  <c:v>23</c:v>
                </c:pt>
              </c:numCache>
            </c:numRef>
          </c:val>
          <c:extLst>
            <c:ext xmlns:c16="http://schemas.microsoft.com/office/drawing/2014/chart" uri="{C3380CC4-5D6E-409C-BE32-E72D297353CC}">
              <c16:uniqueId val="{00000000-AAA1-4735-BF7F-E2A4959CF38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[PHE_Regional_Exploration_Data_60_Rows.xlsx]Data Visualization!PivotTable5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Investment Feasibility Matrix</a:t>
            </a:r>
            <a:endParaRPr lang="en-ID"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'Data Visualization'!$B$9:$B$10</c:f>
              <c:strCache>
                <c:ptCount val="1"/>
                <c:pt idx="0">
                  <c:v>Approved For FID</c:v>
                </c:pt>
              </c:strCache>
            </c:strRef>
          </c:tx>
          <c:spPr>
            <a:solidFill>
              <a:schemeClr val="accent1"/>
            </a:solidFill>
            <a:ln>
              <a:noFill/>
            </a:ln>
            <a:effectLst/>
          </c:spPr>
          <c:invertIfNegative val="0"/>
          <c:cat>
            <c:strRef>
              <c:f>'Data Visualization'!$A$11:$A$13</c:f>
              <c:strCache>
                <c:ptCount val="2"/>
                <c:pt idx="0">
                  <c:v>Offshore</c:v>
                </c:pt>
                <c:pt idx="1">
                  <c:v>Onshore</c:v>
                </c:pt>
              </c:strCache>
            </c:strRef>
          </c:cat>
          <c:val>
            <c:numRef>
              <c:f>'Data Visualization'!$B$11:$B$13</c:f>
              <c:numCache>
                <c:formatCode>General</c:formatCode>
                <c:ptCount val="2"/>
                <c:pt idx="0">
                  <c:v>33</c:v>
                </c:pt>
                <c:pt idx="1">
                  <c:v>22</c:v>
                </c:pt>
              </c:numCache>
            </c:numRef>
          </c:val>
          <c:extLst>
            <c:ext xmlns:c16="http://schemas.microsoft.com/office/drawing/2014/chart" uri="{C3380CC4-5D6E-409C-BE32-E72D297353CC}">
              <c16:uniqueId val="{00000000-654F-4139-A2B0-8E0A4A66E61E}"/>
            </c:ext>
          </c:extLst>
        </c:ser>
        <c:ser>
          <c:idx val="1"/>
          <c:order val="1"/>
          <c:tx>
            <c:strRef>
              <c:f>'Data Visualization'!$C$9:$C$10</c:f>
              <c:strCache>
                <c:ptCount val="1"/>
                <c:pt idx="0">
                  <c:v>Reject / Redesign</c:v>
                </c:pt>
              </c:strCache>
            </c:strRef>
          </c:tx>
          <c:spPr>
            <a:solidFill>
              <a:schemeClr val="accent2"/>
            </a:solidFill>
            <a:ln>
              <a:noFill/>
            </a:ln>
            <a:effectLst/>
          </c:spPr>
          <c:invertIfNegative val="0"/>
          <c:cat>
            <c:strRef>
              <c:f>'Data Visualization'!$A$11:$A$13</c:f>
              <c:strCache>
                <c:ptCount val="2"/>
                <c:pt idx="0">
                  <c:v>Offshore</c:v>
                </c:pt>
                <c:pt idx="1">
                  <c:v>Onshore</c:v>
                </c:pt>
              </c:strCache>
            </c:strRef>
          </c:cat>
          <c:val>
            <c:numRef>
              <c:f>'Data Visualization'!$C$11:$C$13</c:f>
              <c:numCache>
                <c:formatCode>General</c:formatCode>
                <c:ptCount val="2"/>
                <c:pt idx="0">
                  <c:v>4</c:v>
                </c:pt>
                <c:pt idx="1">
                  <c:v>1</c:v>
                </c:pt>
              </c:numCache>
            </c:numRef>
          </c:val>
          <c:extLst>
            <c:ext xmlns:c16="http://schemas.microsoft.com/office/drawing/2014/chart" uri="{C3380CC4-5D6E-409C-BE32-E72D297353CC}">
              <c16:uniqueId val="{00000001-654F-4139-A2B0-8E0A4A66E61E}"/>
            </c:ext>
          </c:extLst>
        </c:ser>
        <c:dLbls>
          <c:showLegendKey val="0"/>
          <c:showVal val="0"/>
          <c:showCatName val="0"/>
          <c:showSerName val="0"/>
          <c:showPercent val="0"/>
          <c:showBubbleSize val="0"/>
        </c:dLbls>
        <c:gapWidth val="150"/>
        <c:overlap val="100"/>
        <c:axId val="322701839"/>
        <c:axId val="2072325615"/>
      </c:barChart>
      <c:catAx>
        <c:axId val="32270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325615"/>
        <c:crosses val="autoZero"/>
        <c:auto val="1"/>
        <c:lblAlgn val="ctr"/>
        <c:lblOffset val="100"/>
        <c:noMultiLvlLbl val="0"/>
      </c:catAx>
      <c:valAx>
        <c:axId val="2072325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70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[PHE_Regional_Exploration_Data_60_Rows.xlsx]Data Visualization!PivotTable4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Financial Performance &amp; Risk Metrics</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Visualization'!$B$16</c:f>
              <c:strCache>
                <c:ptCount val="1"/>
                <c:pt idx="0">
                  <c:v>Avg. IRR (%)</c:v>
                </c:pt>
              </c:strCache>
            </c:strRef>
          </c:tx>
          <c:spPr>
            <a:solidFill>
              <a:schemeClr val="accent1"/>
            </a:solidFill>
            <a:ln>
              <a:noFill/>
            </a:ln>
            <a:effectLst/>
          </c:spPr>
          <c:invertIfNegative val="0"/>
          <c:cat>
            <c:multiLvlStrRef>
              <c:f>'Data Visualization'!$A$17:$A$23</c:f>
              <c:multiLvlStrCache>
                <c:ptCount val="4"/>
                <c:lvl>
                  <c:pt idx="0">
                    <c:v>Approved for FID</c:v>
                  </c:pt>
                  <c:pt idx="1">
                    <c:v>Reject / Redesign</c:v>
                  </c:pt>
                  <c:pt idx="2">
                    <c:v>Approved for FID</c:v>
                  </c:pt>
                  <c:pt idx="3">
                    <c:v>Reject / Redesign</c:v>
                  </c:pt>
                </c:lvl>
                <c:lvl>
                  <c:pt idx="0">
                    <c:v>Offshore</c:v>
                  </c:pt>
                  <c:pt idx="2">
                    <c:v>Onshore</c:v>
                  </c:pt>
                </c:lvl>
              </c:multiLvlStrCache>
            </c:multiLvlStrRef>
          </c:cat>
          <c:val>
            <c:numRef>
              <c:f>'Data Visualization'!$B$17:$B$23</c:f>
              <c:numCache>
                <c:formatCode>0%</c:formatCode>
                <c:ptCount val="4"/>
                <c:pt idx="0">
                  <c:v>0.18484848484848487</c:v>
                </c:pt>
                <c:pt idx="1">
                  <c:v>6.4500000000000002E-2</c:v>
                </c:pt>
                <c:pt idx="2">
                  <c:v>0.1885</c:v>
                </c:pt>
                <c:pt idx="3">
                  <c:v>0.06</c:v>
                </c:pt>
              </c:numCache>
            </c:numRef>
          </c:val>
          <c:extLst>
            <c:ext xmlns:c16="http://schemas.microsoft.com/office/drawing/2014/chart" uri="{C3380CC4-5D6E-409C-BE32-E72D297353CC}">
              <c16:uniqueId val="{00000000-8663-494E-84E5-0AB413E5E5BA}"/>
            </c:ext>
          </c:extLst>
        </c:ser>
        <c:dLbls>
          <c:showLegendKey val="0"/>
          <c:showVal val="0"/>
          <c:showCatName val="0"/>
          <c:showSerName val="0"/>
          <c:showPercent val="0"/>
          <c:showBubbleSize val="0"/>
        </c:dLbls>
        <c:gapWidth val="182"/>
        <c:axId val="326572815"/>
        <c:axId val="58011567"/>
      </c:barChart>
      <c:lineChart>
        <c:grouping val="standard"/>
        <c:varyColors val="0"/>
        <c:ser>
          <c:idx val="1"/>
          <c:order val="1"/>
          <c:tx>
            <c:strRef>
              <c:f>'Data Visualization'!$C$16</c:f>
              <c:strCache>
                <c:ptCount val="1"/>
                <c:pt idx="0">
                  <c:v>Avg. Payback Period (Yrs)</c:v>
                </c:pt>
              </c:strCache>
            </c:strRef>
          </c:tx>
          <c:spPr>
            <a:ln w="28575" cap="rnd">
              <a:solidFill>
                <a:schemeClr val="accent2"/>
              </a:solidFill>
              <a:round/>
            </a:ln>
            <a:effectLst/>
          </c:spPr>
          <c:marker>
            <c:symbol val="none"/>
          </c:marker>
          <c:cat>
            <c:multiLvlStrRef>
              <c:f>'Data Visualization'!$A$17:$A$23</c:f>
              <c:multiLvlStrCache>
                <c:ptCount val="4"/>
                <c:lvl>
                  <c:pt idx="0">
                    <c:v>Approved for FID</c:v>
                  </c:pt>
                  <c:pt idx="1">
                    <c:v>Reject / Redesign</c:v>
                  </c:pt>
                  <c:pt idx="2">
                    <c:v>Approved for FID</c:v>
                  </c:pt>
                  <c:pt idx="3">
                    <c:v>Reject / Redesign</c:v>
                  </c:pt>
                </c:lvl>
                <c:lvl>
                  <c:pt idx="0">
                    <c:v>Offshore</c:v>
                  </c:pt>
                  <c:pt idx="2">
                    <c:v>Onshore</c:v>
                  </c:pt>
                </c:lvl>
              </c:multiLvlStrCache>
            </c:multiLvlStrRef>
          </c:cat>
          <c:val>
            <c:numRef>
              <c:f>'Data Visualization'!$C$17:$C$23</c:f>
              <c:numCache>
                <c:formatCode>0.0</c:formatCode>
                <c:ptCount val="4"/>
                <c:pt idx="0">
                  <c:v>0.91515151515151527</c:v>
                </c:pt>
                <c:pt idx="1">
                  <c:v>9.85</c:v>
                </c:pt>
                <c:pt idx="2">
                  <c:v>0.65454545454545454</c:v>
                </c:pt>
                <c:pt idx="3">
                  <c:v>9.1999999999999993</c:v>
                </c:pt>
              </c:numCache>
            </c:numRef>
          </c:val>
          <c:smooth val="0"/>
          <c:extLst>
            <c:ext xmlns:c16="http://schemas.microsoft.com/office/drawing/2014/chart" uri="{C3380CC4-5D6E-409C-BE32-E72D297353CC}">
              <c16:uniqueId val="{00000001-8663-494E-84E5-0AB413E5E5BA}"/>
            </c:ext>
          </c:extLst>
        </c:ser>
        <c:dLbls>
          <c:showLegendKey val="0"/>
          <c:showVal val="0"/>
          <c:showCatName val="0"/>
          <c:showSerName val="0"/>
          <c:showPercent val="0"/>
          <c:showBubbleSize val="0"/>
        </c:dLbls>
        <c:marker val="1"/>
        <c:smooth val="0"/>
        <c:axId val="405239887"/>
        <c:axId val="2072377935"/>
      </c:lineChart>
      <c:catAx>
        <c:axId val="32657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11567"/>
        <c:crosses val="autoZero"/>
        <c:auto val="1"/>
        <c:lblAlgn val="ctr"/>
        <c:lblOffset val="100"/>
        <c:noMultiLvlLbl val="0"/>
      </c:catAx>
      <c:valAx>
        <c:axId val="58011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572815"/>
        <c:crosses val="autoZero"/>
        <c:crossBetween val="between"/>
      </c:valAx>
      <c:valAx>
        <c:axId val="207237793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239887"/>
        <c:crosses val="max"/>
        <c:crossBetween val="between"/>
      </c:valAx>
      <c:catAx>
        <c:axId val="405239887"/>
        <c:scaling>
          <c:orientation val="minMax"/>
        </c:scaling>
        <c:delete val="1"/>
        <c:axPos val="b"/>
        <c:numFmt formatCode="General" sourceLinked="1"/>
        <c:majorTickMark val="out"/>
        <c:minorTickMark val="none"/>
        <c:tickLblPos val="nextTo"/>
        <c:crossAx val="207237793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[PHE_Regional_Exploration_Data_60_Rows.xlsx]Data Visualization!PivotTable6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Portfolio Cost Efficiency &amp; Profitability</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Visualization'!$B$26</c:f>
              <c:strCache>
                <c:ptCount val="1"/>
                <c:pt idx="0">
                  <c:v>Total CAPEX (USD Million)</c:v>
                </c:pt>
              </c:strCache>
            </c:strRef>
          </c:tx>
          <c:spPr>
            <a:solidFill>
              <a:schemeClr val="accent1"/>
            </a:solidFill>
            <a:ln>
              <a:noFill/>
            </a:ln>
            <a:effectLst/>
          </c:spPr>
          <c:invertIfNegative val="0"/>
          <c:cat>
            <c:strRef>
              <c:f>'Data Visualization'!$A$27:$A$30</c:f>
              <c:strCache>
                <c:ptCount val="3"/>
                <c:pt idx="0">
                  <c:v>0-50</c:v>
                </c:pt>
                <c:pt idx="1">
                  <c:v>50-100</c:v>
                </c:pt>
                <c:pt idx="2">
                  <c:v>100-150</c:v>
                </c:pt>
              </c:strCache>
            </c:strRef>
          </c:cat>
          <c:val>
            <c:numRef>
              <c:f>'Data Visualization'!$B$27:$B$30</c:f>
              <c:numCache>
                <c:formatCode>General</c:formatCode>
                <c:ptCount val="3"/>
                <c:pt idx="0">
                  <c:v>2083.5</c:v>
                </c:pt>
                <c:pt idx="1">
                  <c:v>5920.7</c:v>
                </c:pt>
                <c:pt idx="2">
                  <c:v>8294.6</c:v>
                </c:pt>
              </c:numCache>
            </c:numRef>
          </c:val>
          <c:extLst>
            <c:ext xmlns:c16="http://schemas.microsoft.com/office/drawing/2014/chart" uri="{C3380CC4-5D6E-409C-BE32-E72D297353CC}">
              <c16:uniqueId val="{00000000-0A69-40BD-AFA4-00F9A7FBD20B}"/>
            </c:ext>
          </c:extLst>
        </c:ser>
        <c:ser>
          <c:idx val="2"/>
          <c:order val="2"/>
          <c:tx>
            <c:strRef>
              <c:f>'Data Visualization'!$D$26</c:f>
              <c:strCache>
                <c:ptCount val="1"/>
                <c:pt idx="0">
                  <c:v>Total NPV (USD Million)</c:v>
                </c:pt>
              </c:strCache>
            </c:strRef>
          </c:tx>
          <c:spPr>
            <a:solidFill>
              <a:schemeClr val="accent3"/>
            </a:solidFill>
            <a:ln>
              <a:noFill/>
            </a:ln>
            <a:effectLst/>
          </c:spPr>
          <c:invertIfNegative val="0"/>
          <c:cat>
            <c:strRef>
              <c:f>'Data Visualization'!$A$27:$A$30</c:f>
              <c:strCache>
                <c:ptCount val="3"/>
                <c:pt idx="0">
                  <c:v>0-50</c:v>
                </c:pt>
                <c:pt idx="1">
                  <c:v>50-100</c:v>
                </c:pt>
                <c:pt idx="2">
                  <c:v>100-150</c:v>
                </c:pt>
              </c:strCache>
            </c:strRef>
          </c:cat>
          <c:val>
            <c:numRef>
              <c:f>'Data Visualization'!$D$27:$D$30</c:f>
              <c:numCache>
                <c:formatCode>General</c:formatCode>
                <c:ptCount val="3"/>
                <c:pt idx="0">
                  <c:v>1482.9</c:v>
                </c:pt>
                <c:pt idx="1">
                  <c:v>3712.2000000000003</c:v>
                </c:pt>
                <c:pt idx="2">
                  <c:v>4728.3999999999996</c:v>
                </c:pt>
              </c:numCache>
            </c:numRef>
          </c:val>
          <c:extLst>
            <c:ext xmlns:c16="http://schemas.microsoft.com/office/drawing/2014/chart" uri="{C3380CC4-5D6E-409C-BE32-E72D297353CC}">
              <c16:uniqueId val="{00000002-0A69-40BD-AFA4-00F9A7FBD20B}"/>
            </c:ext>
          </c:extLst>
        </c:ser>
        <c:dLbls>
          <c:showLegendKey val="0"/>
          <c:showVal val="0"/>
          <c:showCatName val="0"/>
          <c:showSerName val="0"/>
          <c:showPercent val="0"/>
          <c:showBubbleSize val="0"/>
        </c:dLbls>
        <c:gapWidth val="219"/>
        <c:axId val="392999087"/>
        <c:axId val="57954927"/>
      </c:barChart>
      <c:lineChart>
        <c:grouping val="standard"/>
        <c:varyColors val="0"/>
        <c:ser>
          <c:idx val="1"/>
          <c:order val="1"/>
          <c:tx>
            <c:strRef>
              <c:f>'Data Visualization'!$C$26</c:f>
              <c:strCache>
                <c:ptCount val="1"/>
                <c:pt idx="0">
                  <c:v>Avg. OPEX (USD/bbl)</c:v>
                </c:pt>
              </c:strCache>
            </c:strRef>
          </c:tx>
          <c:spPr>
            <a:ln w="28575" cap="rnd">
              <a:solidFill>
                <a:schemeClr val="accent2"/>
              </a:solidFill>
              <a:round/>
            </a:ln>
            <a:effectLst/>
          </c:spPr>
          <c:marker>
            <c:symbol val="none"/>
          </c:marker>
          <c:cat>
            <c:strRef>
              <c:f>'Data Visualization'!$A$27:$A$30</c:f>
              <c:strCache>
                <c:ptCount val="3"/>
                <c:pt idx="0">
                  <c:v>0-50</c:v>
                </c:pt>
                <c:pt idx="1">
                  <c:v>50-100</c:v>
                </c:pt>
                <c:pt idx="2">
                  <c:v>100-150</c:v>
                </c:pt>
              </c:strCache>
            </c:strRef>
          </c:cat>
          <c:val>
            <c:numRef>
              <c:f>'Data Visualization'!$C$27:$C$30</c:f>
              <c:numCache>
                <c:formatCode>0.0</c:formatCode>
                <c:ptCount val="3"/>
                <c:pt idx="0">
                  <c:v>18.725000000000001</c:v>
                </c:pt>
                <c:pt idx="1">
                  <c:v>20.777272727272731</c:v>
                </c:pt>
                <c:pt idx="2">
                  <c:v>20.077777777777776</c:v>
                </c:pt>
              </c:numCache>
            </c:numRef>
          </c:val>
          <c:smooth val="0"/>
          <c:extLst>
            <c:ext xmlns:c16="http://schemas.microsoft.com/office/drawing/2014/chart" uri="{C3380CC4-5D6E-409C-BE32-E72D297353CC}">
              <c16:uniqueId val="{00000001-0A69-40BD-AFA4-00F9A7FBD20B}"/>
            </c:ext>
          </c:extLst>
        </c:ser>
        <c:dLbls>
          <c:showLegendKey val="0"/>
          <c:showVal val="0"/>
          <c:showCatName val="0"/>
          <c:showSerName val="0"/>
          <c:showPercent val="0"/>
          <c:showBubbleSize val="0"/>
        </c:dLbls>
        <c:marker val="1"/>
        <c:smooth val="0"/>
        <c:axId val="393014399"/>
        <c:axId val="58013967"/>
      </c:lineChart>
      <c:catAx>
        <c:axId val="39299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4927"/>
        <c:crosses val="autoZero"/>
        <c:auto val="1"/>
        <c:lblAlgn val="ctr"/>
        <c:lblOffset val="100"/>
        <c:noMultiLvlLbl val="0"/>
      </c:catAx>
      <c:valAx>
        <c:axId val="5795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999087"/>
        <c:crosses val="autoZero"/>
        <c:crossBetween val="between"/>
      </c:valAx>
      <c:valAx>
        <c:axId val="5801396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14399"/>
        <c:crosses val="max"/>
        <c:crossBetween val="between"/>
      </c:valAx>
      <c:catAx>
        <c:axId val="393014399"/>
        <c:scaling>
          <c:orientation val="minMax"/>
        </c:scaling>
        <c:delete val="1"/>
        <c:axPos val="b"/>
        <c:numFmt formatCode="General" sourceLinked="1"/>
        <c:majorTickMark val="out"/>
        <c:minorTickMark val="none"/>
        <c:tickLblPos val="nextTo"/>
        <c:crossAx val="5801396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15</xdr:col>
      <xdr:colOff>250658</xdr:colOff>
      <xdr:row>0</xdr:row>
      <xdr:rowOff>130342</xdr:rowOff>
    </xdr:from>
    <xdr:to>
      <xdr:col>22</xdr:col>
      <xdr:colOff>581526</xdr:colOff>
      <xdr:row>11</xdr:row>
      <xdr:rowOff>150394</xdr:rowOff>
    </xdr:to>
    <xdr:sp macro="" textlink="">
      <xdr:nvSpPr>
        <xdr:cNvPr id="5" name="TextBox 4">
          <a:extLst>
            <a:ext uri="{FF2B5EF4-FFF2-40B4-BE49-F238E27FC236}">
              <a16:creationId xmlns:a16="http://schemas.microsoft.com/office/drawing/2014/main" id="{03F73703-6A19-2BFA-6912-8997D686A779}"/>
            </a:ext>
          </a:extLst>
        </xdr:cNvPr>
        <xdr:cNvSpPr txBox="1"/>
      </xdr:nvSpPr>
      <xdr:spPr>
        <a:xfrm>
          <a:off x="18288000" y="130342"/>
          <a:ext cx="4612105" cy="2005263"/>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b="1"/>
            <a:t>USING FORMULAS:</a:t>
          </a:r>
          <a:r>
            <a:rPr lang="en-ID" b="1" baseline="0"/>
            <a:t>  </a:t>
          </a:r>
          <a:r>
            <a:rPr lang="en-ID" b="1"/>
            <a:t>SEARCH ENGINE (INDEX-MATCH METHOD)</a:t>
          </a:r>
        </a:p>
        <a:p>
          <a:r>
            <a:rPr lang="en-ID"/>
            <a:t>This feature serves as an interactive user</a:t>
          </a:r>
          <a:r>
            <a:rPr lang="en-ID" baseline="0"/>
            <a:t> </a:t>
          </a:r>
          <a:r>
            <a:rPr lang="en-ID"/>
            <a:t> tool to look up specific field profiles instantaneously by entering a unique Field ID (e.g., typing </a:t>
          </a:r>
          <a:r>
            <a:rPr lang="en-ID" sz="1100">
              <a:solidFill>
                <a:schemeClr val="dk1"/>
              </a:solidFill>
              <a:latin typeface="+mn-lt"/>
              <a:ea typeface="+mn-ea"/>
              <a:cs typeface="+mn-cs"/>
            </a:rPr>
            <a:t>PHE-022</a:t>
          </a:r>
          <a:r>
            <a:rPr lang="en-ID"/>
            <a:t> in cell M2).</a:t>
          </a:r>
        </a:p>
        <a:p>
          <a:endParaRPr lang="en-ID"/>
        </a:p>
        <a:p>
          <a:r>
            <a:rPr lang="en-ID" b="1"/>
            <a:t>Field &amp; Location Lookup:</a:t>
          </a:r>
          <a:r>
            <a:rPr lang="en-ID"/>
            <a:t> </a:t>
          </a:r>
          <a:r>
            <a:rPr lang="en-ID" sz="1100">
              <a:solidFill>
                <a:schemeClr val="dk1"/>
              </a:solidFill>
              <a:latin typeface="+mn-lt"/>
              <a:ea typeface="+mn-ea"/>
              <a:cs typeface="+mn-cs"/>
            </a:rPr>
            <a:t>=INDEX(B2:B61, MATCH(M2, A2:A61, 0))</a:t>
          </a:r>
          <a:r>
            <a:rPr lang="en-ID"/>
            <a:t> dynamically extracts the precise field name and its environment (e.g., </a:t>
          </a:r>
          <a:r>
            <a:rPr lang="en-ID" sz="1100">
              <a:solidFill>
                <a:schemeClr val="dk1"/>
              </a:solidFill>
              <a:latin typeface="+mn-lt"/>
              <a:ea typeface="+mn-ea"/>
              <a:cs typeface="+mn-cs"/>
            </a:rPr>
            <a:t>Mahakkam-31 Offshore</a:t>
          </a:r>
          <a:r>
            <a:rPr lang="en-ID"/>
            <a:t>).</a:t>
          </a:r>
        </a:p>
        <a:p>
          <a:endParaRPr lang="en-ID"/>
        </a:p>
        <a:p>
          <a:r>
            <a:rPr lang="en-ID" b="1"/>
            <a:t>Financial Viability Lookup:</a:t>
          </a:r>
          <a:r>
            <a:rPr lang="en-ID"/>
            <a:t> </a:t>
          </a:r>
          <a:r>
            <a:rPr lang="en-ID" sz="1100">
              <a:solidFill>
                <a:schemeClr val="dk1"/>
              </a:solidFill>
              <a:latin typeface="+mn-lt"/>
              <a:ea typeface="+mn-ea"/>
              <a:cs typeface="+mn-cs"/>
            </a:rPr>
            <a:t>=INDEX(H2:H61, MATCH(M2, A2:A61, 0))</a:t>
          </a:r>
          <a:r>
            <a:rPr lang="en-ID"/>
            <a:t> instantly retrieves the exact project profitability value (e.g., </a:t>
          </a:r>
          <a:r>
            <a:rPr lang="en-ID" sz="1100">
              <a:solidFill>
                <a:schemeClr val="dk1"/>
              </a:solidFill>
              <a:latin typeface="+mn-lt"/>
              <a:ea typeface="+mn-ea"/>
              <a:cs typeface="+mn-cs"/>
            </a:rPr>
            <a:t>$156.9 Million NPV</a:t>
          </a:r>
          <a:r>
            <a:rPr lang="en-ID"/>
            <a:t>).</a:t>
          </a:r>
        </a:p>
        <a:p>
          <a:endParaRPr lang="en-ID" sz="1100"/>
        </a:p>
      </xdr:txBody>
    </xdr:sp>
    <xdr:clientData/>
  </xdr:twoCellAnchor>
  <xdr:twoCellAnchor>
    <xdr:from>
      <xdr:col>15</xdr:col>
      <xdr:colOff>242637</xdr:colOff>
      <xdr:row>12</xdr:row>
      <xdr:rowOff>142374</xdr:rowOff>
    </xdr:from>
    <xdr:to>
      <xdr:col>22</xdr:col>
      <xdr:colOff>573505</xdr:colOff>
      <xdr:row>25</xdr:row>
      <xdr:rowOff>70184</xdr:rowOff>
    </xdr:to>
    <xdr:sp macro="" textlink="">
      <xdr:nvSpPr>
        <xdr:cNvPr id="6" name="TextBox 5">
          <a:extLst>
            <a:ext uri="{FF2B5EF4-FFF2-40B4-BE49-F238E27FC236}">
              <a16:creationId xmlns:a16="http://schemas.microsoft.com/office/drawing/2014/main" id="{EFCA38BB-75F9-47AC-AF27-79794EA8CD14}"/>
            </a:ext>
          </a:extLst>
        </xdr:cNvPr>
        <xdr:cNvSpPr txBox="1"/>
      </xdr:nvSpPr>
      <xdr:spPr>
        <a:xfrm>
          <a:off x="18701084" y="2308058"/>
          <a:ext cx="4612105" cy="227396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b="1"/>
            <a:t>USING FORMULAS:</a:t>
          </a:r>
          <a:r>
            <a:rPr lang="en-ID" b="1" baseline="0"/>
            <a:t> </a:t>
          </a:r>
          <a:r>
            <a:rPr lang="en-ID" b="1"/>
            <a:t>SEARCH ENGINE (VLOOKUP METHOD)</a:t>
          </a:r>
        </a:p>
        <a:p>
          <a:r>
            <a:rPr lang="en-ID"/>
            <a:t>This interactive feature allows user to instantaneously retrieve specific asset risk and financial profiles simply by inputting a unique identifier in the designated search cell.</a:t>
          </a:r>
        </a:p>
        <a:p>
          <a:endParaRPr lang="en-ID"/>
        </a:p>
        <a:p>
          <a:r>
            <a:rPr lang="en-ID" b="1"/>
            <a:t>Formula Executed:</a:t>
          </a:r>
          <a:r>
            <a:rPr lang="en-ID"/>
            <a:t> </a:t>
          </a:r>
          <a:r>
            <a:rPr lang="en-ID" sz="1100">
              <a:solidFill>
                <a:schemeClr val="dk1"/>
              </a:solidFill>
              <a:latin typeface="+mn-lt"/>
              <a:ea typeface="+mn-ea"/>
              <a:cs typeface="+mn-cs"/>
            </a:rPr>
            <a:t>=VLOOKUP(M2, A2:K61, 8, FALSE)</a:t>
          </a:r>
        </a:p>
        <a:p>
          <a:endParaRPr lang="en-ID"/>
        </a:p>
        <a:p>
          <a:r>
            <a:rPr lang="en-ID" b="1"/>
            <a:t>Live Demonstration:</a:t>
          </a:r>
          <a:r>
            <a:rPr lang="en-ID"/>
            <a:t> When a user types a specific Field ID into cell </a:t>
          </a:r>
          <a:r>
            <a:rPr lang="en-ID" b="1"/>
            <a:t>M2</a:t>
          </a:r>
          <a:r>
            <a:rPr lang="en-ID"/>
            <a:t> (e.g., </a:t>
          </a:r>
          <a:r>
            <a:rPr lang="en-ID" sz="1100">
              <a:solidFill>
                <a:schemeClr val="dk1"/>
              </a:solidFill>
              <a:latin typeface="+mn-lt"/>
              <a:ea typeface="+mn-ea"/>
              <a:cs typeface="+mn-cs"/>
            </a:rPr>
            <a:t>PHE-022</a:t>
          </a:r>
          <a:r>
            <a:rPr lang="en-ID"/>
            <a:t>), the engine scans the master table array (</a:t>
          </a:r>
          <a:r>
            <a:rPr lang="en-ID" sz="1100">
              <a:solidFill>
                <a:schemeClr val="dk1"/>
              </a:solidFill>
              <a:latin typeface="+mn-lt"/>
              <a:ea typeface="+mn-ea"/>
              <a:cs typeface="+mn-cs"/>
            </a:rPr>
            <a:t>A2:K61</a:t>
          </a:r>
          <a:r>
            <a:rPr lang="en-ID"/>
            <a:t>), moves to the 8th column (Column H / Project NPV), and extracts the exact economic value-returning a precise output of </a:t>
          </a:r>
          <a:r>
            <a:rPr lang="en-ID" sz="1100" b="1">
              <a:solidFill>
                <a:schemeClr val="dk1"/>
              </a:solidFill>
              <a:latin typeface="+mn-lt"/>
              <a:ea typeface="+mn-ea"/>
              <a:cs typeface="+mn-cs"/>
            </a:rPr>
            <a:t>$156.9 Million NPV</a:t>
          </a:r>
          <a:r>
            <a:rPr lang="en-ID"/>
            <a:t> with an exact match parameter.</a:t>
          </a:r>
        </a:p>
        <a:p>
          <a:endParaRPr lang="en-ID" sz="1100"/>
        </a:p>
      </xdr:txBody>
    </xdr:sp>
    <xdr:clientData/>
  </xdr:twoCellAnchor>
  <xdr:twoCellAnchor>
    <xdr:from>
      <xdr:col>12</xdr:col>
      <xdr:colOff>0</xdr:colOff>
      <xdr:row>28</xdr:row>
      <xdr:rowOff>0</xdr:rowOff>
    </xdr:from>
    <xdr:to>
      <xdr:col>19</xdr:col>
      <xdr:colOff>10026</xdr:colOff>
      <xdr:row>36</xdr:row>
      <xdr:rowOff>172954</xdr:rowOff>
    </xdr:to>
    <xdr:sp macro="" textlink="">
      <xdr:nvSpPr>
        <xdr:cNvPr id="9" name="TextBox 8">
          <a:extLst>
            <a:ext uri="{FF2B5EF4-FFF2-40B4-BE49-F238E27FC236}">
              <a16:creationId xmlns:a16="http://schemas.microsoft.com/office/drawing/2014/main" id="{4E1054D6-06A8-4EA2-BF44-501E34D3F28C}"/>
            </a:ext>
          </a:extLst>
        </xdr:cNvPr>
        <xdr:cNvSpPr txBox="1"/>
      </xdr:nvSpPr>
      <xdr:spPr>
        <a:xfrm>
          <a:off x="15011400" y="5334000"/>
          <a:ext cx="5934576" cy="16969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b="1"/>
            <a:t>STEP 1: Data Cleaning &amp; Format Standardization</a:t>
          </a:r>
        </a:p>
        <a:p>
          <a:endParaRPr lang="en-ID"/>
        </a:p>
        <a:p>
          <a:r>
            <a:rPr lang="en-ID" b="1"/>
            <a:t>Action Taken:</a:t>
          </a:r>
          <a:r>
            <a:rPr lang="en-ID"/>
            <a:t> Converted raw, unformatted text rows into a standardized corporate database. Applied </a:t>
          </a:r>
          <a:r>
            <a:rPr lang="en-ID" sz="1100">
              <a:solidFill>
                <a:schemeClr val="dk1"/>
              </a:solidFill>
              <a:latin typeface="+mn-lt"/>
              <a:ea typeface="+mn-ea"/>
              <a:cs typeface="+mn-cs"/>
            </a:rPr>
            <a:t>Comma Separator (</a:t>
          </a:r>
          <a:r>
            <a:rPr lang="en-ID" sz="1100" baseline="0">
              <a:solidFill>
                <a:schemeClr val="dk1"/>
              </a:solidFill>
              <a:latin typeface="+mn-lt"/>
              <a:ea typeface="+mn-ea"/>
              <a:cs typeface="+mn-cs"/>
            </a:rPr>
            <a:t> . </a:t>
          </a:r>
          <a:r>
            <a:rPr lang="en-ID" sz="1100">
              <a:solidFill>
                <a:schemeClr val="dk1"/>
              </a:solidFill>
              <a:latin typeface="+mn-lt"/>
              <a:ea typeface="+mn-ea"/>
              <a:cs typeface="+mn-cs"/>
            </a:rPr>
            <a:t>)</a:t>
          </a:r>
          <a:r>
            <a:rPr lang="en-ID"/>
            <a:t> to numerical columns (Reserves &amp; Peak Production), configured </a:t>
          </a:r>
          <a:r>
            <a:rPr lang="en-ID" sz="1100">
              <a:solidFill>
                <a:schemeClr val="dk1"/>
              </a:solidFill>
              <a:latin typeface="+mn-lt"/>
              <a:ea typeface="+mn-ea"/>
              <a:cs typeface="+mn-cs"/>
            </a:rPr>
            <a:t>Currency ( $</a:t>
          </a:r>
          <a:r>
            <a:rPr lang="en-ID" sz="1100" baseline="0">
              <a:solidFill>
                <a:schemeClr val="dk1"/>
              </a:solidFill>
              <a:latin typeface="+mn-lt"/>
              <a:ea typeface="+mn-ea"/>
              <a:cs typeface="+mn-cs"/>
            </a:rPr>
            <a:t> </a:t>
          </a:r>
          <a:r>
            <a:rPr lang="en-ID" sz="1100">
              <a:solidFill>
                <a:schemeClr val="dk1"/>
              </a:solidFill>
              <a:latin typeface="+mn-lt"/>
              <a:ea typeface="+mn-ea"/>
              <a:cs typeface="+mn-cs"/>
            </a:rPr>
            <a:t>)</a:t>
          </a:r>
          <a:r>
            <a:rPr lang="en-ID"/>
            <a:t> formatting for financial metrics (NPV), and set </a:t>
          </a:r>
          <a:r>
            <a:rPr lang="en-ID" sz="1100">
              <a:solidFill>
                <a:schemeClr val="dk1"/>
              </a:solidFill>
              <a:latin typeface="+mn-lt"/>
              <a:ea typeface="+mn-ea"/>
              <a:cs typeface="+mn-cs"/>
            </a:rPr>
            <a:t>Percentage (0.0%)</a:t>
          </a:r>
          <a:r>
            <a:rPr lang="en-ID"/>
            <a:t> for efficiency ratios (IRR).</a:t>
          </a:r>
        </a:p>
        <a:p>
          <a:endParaRPr lang="en-ID"/>
        </a:p>
        <a:p>
          <a:r>
            <a:rPr lang="en-ID" b="1"/>
            <a:t>Objective:</a:t>
          </a:r>
          <a:r>
            <a:rPr lang="en-ID"/>
            <a:t> To eliminate data type discrepancies, ensure 100% database readiness, and resolve Excel's native grouping restrictions for seamless Pivot Table generation.</a:t>
          </a:r>
        </a:p>
        <a:p>
          <a:endParaRPr lang="en-ID"/>
        </a:p>
        <a:p>
          <a:endParaRPr lang="en-ID"/>
        </a:p>
      </xdr:txBody>
    </xdr:sp>
    <xdr:clientData/>
  </xdr:twoCellAnchor>
  <xdr:twoCellAnchor>
    <xdr:from>
      <xdr:col>12</xdr:col>
      <xdr:colOff>39733</xdr:colOff>
      <xdr:row>45</xdr:row>
      <xdr:rowOff>121985</xdr:rowOff>
    </xdr:from>
    <xdr:to>
      <xdr:col>19</xdr:col>
      <xdr:colOff>29589</xdr:colOff>
      <xdr:row>52</xdr:row>
      <xdr:rowOff>4678</xdr:rowOff>
    </xdr:to>
    <xdr:sp macro="" textlink="">
      <xdr:nvSpPr>
        <xdr:cNvPr id="10" name="TextBox 9">
          <a:extLst>
            <a:ext uri="{FF2B5EF4-FFF2-40B4-BE49-F238E27FC236}">
              <a16:creationId xmlns:a16="http://schemas.microsoft.com/office/drawing/2014/main" id="{7D5888D9-843F-4F8A-81A2-C1269C88D344}"/>
            </a:ext>
          </a:extLst>
        </xdr:cNvPr>
        <xdr:cNvSpPr txBox="1"/>
      </xdr:nvSpPr>
      <xdr:spPr>
        <a:xfrm>
          <a:off x="15051133" y="8694485"/>
          <a:ext cx="5914406" cy="12161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b="1"/>
            <a:t>STEP 2: Descriptive Statistics Auditing</a:t>
          </a:r>
        </a:p>
        <a:p>
          <a:endParaRPr lang="en-ID"/>
        </a:p>
        <a:p>
          <a:r>
            <a:rPr lang="en-ID" b="1"/>
            <a:t>Action Taken:</a:t>
          </a:r>
          <a:r>
            <a:rPr lang="en-ID"/>
            <a:t> Implemented summary formulas at the baseline of the master dataset to audit data ranges, specifically using </a:t>
          </a:r>
          <a:r>
            <a:rPr lang="en-ID" sz="1100">
              <a:solidFill>
                <a:schemeClr val="dk1"/>
              </a:solidFill>
              <a:latin typeface="+mn-lt"/>
              <a:ea typeface="+mn-ea"/>
              <a:cs typeface="+mn-cs"/>
            </a:rPr>
            <a:t>=AVERAGE()</a:t>
          </a:r>
          <a:r>
            <a:rPr lang="en-ID"/>
            <a:t> to find the mean reserves size, alongside </a:t>
          </a:r>
          <a:r>
            <a:rPr lang="en-ID" sz="1100">
              <a:solidFill>
                <a:schemeClr val="dk1"/>
              </a:solidFill>
              <a:latin typeface="+mn-lt"/>
              <a:ea typeface="+mn-ea"/>
              <a:cs typeface="+mn-cs"/>
            </a:rPr>
            <a:t>=MAX()</a:t>
          </a:r>
          <a:r>
            <a:rPr lang="en-ID"/>
            <a:t> and </a:t>
          </a:r>
          <a:r>
            <a:rPr lang="en-ID" sz="1100">
              <a:solidFill>
                <a:schemeClr val="dk1"/>
              </a:solidFill>
              <a:latin typeface="+mn-lt"/>
              <a:ea typeface="+mn-ea"/>
              <a:cs typeface="+mn-cs"/>
            </a:rPr>
            <a:t>=MIN()</a:t>
          </a:r>
          <a:r>
            <a:rPr lang="en-ID"/>
            <a:t> to map out the exact commercial boundaries and identify financial outliers (such as negative NPV projects).</a:t>
          </a:r>
        </a:p>
        <a:p>
          <a:endParaRPr lang="en-ID"/>
        </a:p>
      </xdr:txBody>
    </xdr:sp>
    <xdr:clientData/>
  </xdr:twoCellAnchor>
  <xdr:twoCellAnchor>
    <xdr:from>
      <xdr:col>12</xdr:col>
      <xdr:colOff>45788</xdr:colOff>
      <xdr:row>37</xdr:row>
      <xdr:rowOff>158582</xdr:rowOff>
    </xdr:from>
    <xdr:to>
      <xdr:col>19</xdr:col>
      <xdr:colOff>55814</xdr:colOff>
      <xdr:row>44</xdr:row>
      <xdr:rowOff>96419</xdr:rowOff>
    </xdr:to>
    <xdr:sp macro="" textlink="">
      <xdr:nvSpPr>
        <xdr:cNvPr id="11" name="TextBox 10">
          <a:extLst>
            <a:ext uri="{FF2B5EF4-FFF2-40B4-BE49-F238E27FC236}">
              <a16:creationId xmlns:a16="http://schemas.microsoft.com/office/drawing/2014/main" id="{B7C2BF6E-B337-4D92-8CA8-3894C7829C1D}"/>
            </a:ext>
          </a:extLst>
        </xdr:cNvPr>
        <xdr:cNvSpPr txBox="1"/>
      </xdr:nvSpPr>
      <xdr:spPr>
        <a:xfrm>
          <a:off x="15057188" y="7207082"/>
          <a:ext cx="5934576" cy="12713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b="1"/>
            <a:t>STEP 3: Risk Screening &amp; Dynamic Search Implementation</a:t>
          </a:r>
        </a:p>
        <a:p>
          <a:endParaRPr lang="en-ID"/>
        </a:p>
        <a:p>
          <a:r>
            <a:rPr lang="en-ID" b="1"/>
            <a:t>Action Taken:</a:t>
          </a:r>
          <a:r>
            <a:rPr lang="en-ID"/>
            <a:t> Built an automated commercial screening system using the logical </a:t>
          </a:r>
          <a:r>
            <a:rPr lang="en-ID" sz="1100">
              <a:solidFill>
                <a:schemeClr val="dk1"/>
              </a:solidFill>
              <a:latin typeface="+mn-lt"/>
              <a:ea typeface="+mn-ea"/>
              <a:cs typeface="+mn-cs"/>
            </a:rPr>
            <a:t>=IF()</a:t>
          </a:r>
          <a:r>
            <a:rPr lang="en-ID"/>
            <a:t> formula to instantly categorize project feasibility. Enhanced visual scanning by embedding conditional formatting (red highlights for rejected fields). Additionally, integrated a dynamic search engine using the </a:t>
          </a:r>
          <a:r>
            <a:rPr lang="en-ID" sz="1100">
              <a:solidFill>
                <a:schemeClr val="dk1"/>
              </a:solidFill>
              <a:latin typeface="+mn-lt"/>
              <a:ea typeface="+mn-ea"/>
              <a:cs typeface="+mn-cs"/>
            </a:rPr>
            <a:t>=VLOOKUP() and Index-Match</a:t>
          </a:r>
          <a:r>
            <a:rPr lang="en-ID"/>
            <a:t> function to enable instantaneous asset risk profiling by Field ID.</a:t>
          </a:r>
        </a:p>
      </xdr:txBody>
    </xdr:sp>
    <xdr:clientData/>
  </xdr:twoCellAnchor>
  <xdr:twoCellAnchor>
    <xdr:from>
      <xdr:col>11</xdr:col>
      <xdr:colOff>1007813</xdr:colOff>
      <xdr:row>52</xdr:row>
      <xdr:rowOff>167439</xdr:rowOff>
    </xdr:from>
    <xdr:to>
      <xdr:col>19</xdr:col>
      <xdr:colOff>24064</xdr:colOff>
      <xdr:row>58</xdr:row>
      <xdr:rowOff>11029</xdr:rowOff>
    </xdr:to>
    <xdr:sp macro="" textlink="">
      <xdr:nvSpPr>
        <xdr:cNvPr id="12" name="TextBox 11">
          <a:extLst>
            <a:ext uri="{FF2B5EF4-FFF2-40B4-BE49-F238E27FC236}">
              <a16:creationId xmlns:a16="http://schemas.microsoft.com/office/drawing/2014/main" id="{5B739EF0-159B-4156-8291-838B80376A3B}"/>
            </a:ext>
          </a:extLst>
        </xdr:cNvPr>
        <xdr:cNvSpPr txBox="1"/>
      </xdr:nvSpPr>
      <xdr:spPr>
        <a:xfrm>
          <a:off x="14990513" y="10073439"/>
          <a:ext cx="5969501" cy="9865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b="1"/>
            <a:t>STEP 4: Macro-Level Pivot Table Aggregation</a:t>
          </a:r>
        </a:p>
        <a:p>
          <a:endParaRPr lang="en-ID"/>
        </a:p>
        <a:p>
          <a:r>
            <a:rPr lang="en-ID" b="1"/>
            <a:t>Action Taken:</a:t>
          </a:r>
          <a:r>
            <a:rPr lang="en-ID"/>
            <a:t> Deployed Pivot Tables (</a:t>
          </a:r>
          <a:r>
            <a:rPr lang="en-ID" sz="1100">
              <a:solidFill>
                <a:schemeClr val="dk1"/>
              </a:solidFill>
              <a:latin typeface="+mn-lt"/>
              <a:ea typeface="+mn-ea"/>
              <a:cs typeface="+mn-cs"/>
            </a:rPr>
            <a:t>Vipot</a:t>
          </a:r>
          <a:r>
            <a:rPr lang="en-ID"/>
            <a:t>) to aggregate macro operational costs. Grouped the 60 asset rows by their operational environment to isolate and compare total capital allocation between Offshore and Onshore sectors.</a:t>
          </a:r>
        </a:p>
      </xdr:txBody>
    </xdr:sp>
    <xdr:clientData/>
  </xdr:twoCellAnchor>
  <xdr:twoCellAnchor>
    <xdr:from>
      <xdr:col>12</xdr:col>
      <xdr:colOff>7688</xdr:colOff>
      <xdr:row>59</xdr:row>
      <xdr:rowOff>30913</xdr:rowOff>
    </xdr:from>
    <xdr:to>
      <xdr:col>19</xdr:col>
      <xdr:colOff>52639</xdr:colOff>
      <xdr:row>64</xdr:row>
      <xdr:rowOff>118978</xdr:rowOff>
    </xdr:to>
    <xdr:sp macro="" textlink="">
      <xdr:nvSpPr>
        <xdr:cNvPr id="13" name="TextBox 12">
          <a:extLst>
            <a:ext uri="{FF2B5EF4-FFF2-40B4-BE49-F238E27FC236}">
              <a16:creationId xmlns:a16="http://schemas.microsoft.com/office/drawing/2014/main" id="{AF17A994-7712-4574-A56A-EF617A7EDDA1}"/>
            </a:ext>
          </a:extLst>
        </xdr:cNvPr>
        <xdr:cNvSpPr txBox="1"/>
      </xdr:nvSpPr>
      <xdr:spPr>
        <a:xfrm>
          <a:off x="15019088" y="11270413"/>
          <a:ext cx="5969501" cy="1040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b="1"/>
            <a:t>STEP 5: Executive Dashboard Visualization</a:t>
          </a:r>
        </a:p>
        <a:p>
          <a:endParaRPr lang="en-ID"/>
        </a:p>
        <a:p>
          <a:r>
            <a:rPr lang="en-ID" b="1"/>
            <a:t>Action Taken:</a:t>
          </a:r>
          <a:r>
            <a:rPr lang="en-ID"/>
            <a:t> Transformed the cleaned tables into high-impact Executive Charts. Stripped away distracting default gridlines, standardized corporate color palettes, and integrated strategic "Action Titles" to ensure the data is fully optimized for senior management's Final Investment Decisions (FID).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466164</xdr:colOff>
      <xdr:row>1</xdr:row>
      <xdr:rowOff>89647</xdr:rowOff>
    </xdr:from>
    <xdr:to>
      <xdr:col>15</xdr:col>
      <xdr:colOff>62753</xdr:colOff>
      <xdr:row>15</xdr:row>
      <xdr:rowOff>107576</xdr:rowOff>
    </xdr:to>
    <xdr:graphicFrame macro="">
      <xdr:nvGraphicFramePr>
        <xdr:cNvPr id="6" name="Chart 5">
          <a:extLst>
            <a:ext uri="{FF2B5EF4-FFF2-40B4-BE49-F238E27FC236}">
              <a16:creationId xmlns:a16="http://schemas.microsoft.com/office/drawing/2014/main" id="{CB0A4640-B798-D62A-1021-3F1429A2A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516966</xdr:colOff>
      <xdr:row>15</xdr:row>
      <xdr:rowOff>246198</xdr:rowOff>
    </xdr:from>
    <xdr:to>
      <xdr:col>18</xdr:col>
      <xdr:colOff>324556</xdr:colOff>
      <xdr:row>29</xdr:row>
      <xdr:rowOff>99775</xdr:rowOff>
    </xdr:to>
    <xdr:graphicFrame macro="">
      <xdr:nvGraphicFramePr>
        <xdr:cNvPr id="7" name="Chart 6">
          <a:extLst>
            <a:ext uri="{FF2B5EF4-FFF2-40B4-BE49-F238E27FC236}">
              <a16:creationId xmlns:a16="http://schemas.microsoft.com/office/drawing/2014/main" id="{92EB37F6-DD48-BD76-7A6B-8792F74EC9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180377</xdr:colOff>
      <xdr:row>0</xdr:row>
      <xdr:rowOff>110067</xdr:rowOff>
    </xdr:from>
    <xdr:to>
      <xdr:col>39</xdr:col>
      <xdr:colOff>326396</xdr:colOff>
      <xdr:row>20</xdr:row>
      <xdr:rowOff>172401</xdr:rowOff>
    </xdr:to>
    <xdr:graphicFrame macro="">
      <xdr:nvGraphicFramePr>
        <xdr:cNvPr id="10" name="Chart 9">
          <a:extLst>
            <a:ext uri="{FF2B5EF4-FFF2-40B4-BE49-F238E27FC236}">
              <a16:creationId xmlns:a16="http://schemas.microsoft.com/office/drawing/2014/main" id="{8D7A8E5A-EDA2-CF88-A0FA-C494AF619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187739</xdr:colOff>
      <xdr:row>22</xdr:row>
      <xdr:rowOff>46259</xdr:rowOff>
    </xdr:from>
    <xdr:to>
      <xdr:col>36</xdr:col>
      <xdr:colOff>215347</xdr:colOff>
      <xdr:row>38</xdr:row>
      <xdr:rowOff>66261</xdr:rowOff>
    </xdr:to>
    <xdr:graphicFrame macro="">
      <xdr:nvGraphicFramePr>
        <xdr:cNvPr id="11" name="Chart 10">
          <a:extLst>
            <a:ext uri="{FF2B5EF4-FFF2-40B4-BE49-F238E27FC236}">
              <a16:creationId xmlns:a16="http://schemas.microsoft.com/office/drawing/2014/main" id="{C37CD91C-9B13-76D8-B1BC-24B4CF6EE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8.788365624998" createdVersion="8" refreshedVersion="8" minRefreshableVersion="3" recordCount="66" xr:uid="{80B94216-2B55-4730-AF22-1EBC9FD2B649}">
  <cacheSource type="worksheet">
    <worksheetSource ref="A1:K1048576" sheet="Regional Exploration Data"/>
  </cacheSource>
  <cacheFields count="11">
    <cacheField name="field_id" numFmtId="0">
      <sharedItems containsBlank="1" count="61">
        <s v="PHE-001"/>
        <s v="PHE-002"/>
        <s v="PHE-003"/>
        <s v="PHE-004"/>
        <s v="PHE-005"/>
        <s v="PHE-006"/>
        <s v="PHE-007"/>
        <s v="PHE-008"/>
        <s v="PHE-009"/>
        <s v="PHE-010"/>
        <s v="PHE-011"/>
        <s v="PHE-012"/>
        <s v="PHE-013"/>
        <s v="PHE-014"/>
        <s v="PHE-015"/>
        <s v="PHE-016"/>
        <s v="PHE-017"/>
        <s v="PHE-018"/>
        <s v="PHE-019"/>
        <s v="PHE-020"/>
        <s v="PHE-021"/>
        <s v="PHE-022"/>
        <s v="PHE-023"/>
        <s v="PHE-024"/>
        <s v="PHE-025"/>
        <s v="PHE-026"/>
        <s v="PHE-027"/>
        <s v="PHE-028"/>
        <s v="PHE-029"/>
        <s v="PHE-030"/>
        <s v="PHE-031"/>
        <s v="PHE-032"/>
        <s v="PHE-033"/>
        <s v="PHE-034"/>
        <s v="PHE-035"/>
        <s v="PHE-036"/>
        <s v="PHE-037"/>
        <s v="PHE-038"/>
        <s v="PHE-039"/>
        <s v="PHE-040"/>
        <s v="PHE-041"/>
        <s v="PHE-042"/>
        <s v="PHE-043"/>
        <s v="PHE-044"/>
        <s v="PHE-045"/>
        <s v="PHE-046"/>
        <s v="PHE-047"/>
        <s v="PHE-048"/>
        <s v="PHE-049"/>
        <s v="PHE-050"/>
        <s v="PHE-051"/>
        <s v="PHE-052"/>
        <s v="PHE-053"/>
        <s v="PHE-054"/>
        <s v="PHE-055"/>
        <s v="PHE-056"/>
        <s v="PHE-057"/>
        <s v="PHE-058"/>
        <s v="PHE-059"/>
        <s v="PHE-060"/>
        <m/>
      </sharedItems>
    </cacheField>
    <cacheField name="field_name" numFmtId="0">
      <sharedItems containsBlank="1"/>
    </cacheField>
    <cacheField name="environment_type" numFmtId="0">
      <sharedItems containsBlank="1" count="3">
        <s v="Offshore"/>
        <s v="Onshore"/>
        <m/>
      </sharedItems>
    </cacheField>
    <cacheField name="reserves_mmboe" numFmtId="0">
      <sharedItems containsString="0" containsBlank="1" containsNumber="1" minValue="5.0999999999999996" maxValue="149.69999999999999" count="61">
        <n v="22.7"/>
        <n v="56.7"/>
        <n v="136.5"/>
        <n v="44.5"/>
        <n v="98.9"/>
        <n v="5.0999999999999996"/>
        <n v="56.1"/>
        <n v="49.2"/>
        <n v="28.9"/>
        <n v="82.4"/>
        <n v="75.3"/>
        <n v="105.4"/>
        <n v="44.1"/>
        <n v="40.4"/>
        <n v="29.4"/>
        <n v="36.700000000000003"/>
        <n v="85.9"/>
        <n v="63.6"/>
        <n v="14.4"/>
        <n v="41.8"/>
        <n v="40.799999999999997"/>
        <n v="106"/>
        <n v="108.3"/>
        <n v="26.5"/>
        <n v="149.69999999999999"/>
        <n v="43.7"/>
        <n v="146.6"/>
        <n v="64.599999999999994"/>
        <n v="9.8000000000000007"/>
        <n v="55"/>
        <n v="97"/>
        <n v="103.7"/>
        <n v="82"/>
        <n v="69.900000000000006"/>
        <n v="85.2"/>
        <n v="90.9"/>
        <n v="16.7"/>
        <n v="58.6"/>
        <n v="40.1"/>
        <n v="121.5"/>
        <n v="73.2"/>
        <n v="147.6"/>
        <n v="62.8"/>
        <n v="123.4"/>
        <n v="120.8"/>
        <n v="26.9"/>
        <n v="78.7"/>
        <n v="105.9"/>
        <n v="129.5"/>
        <n v="52.3"/>
        <n v="36.9"/>
        <n v="108.1"/>
        <n v="122.4"/>
        <n v="55.6"/>
        <n v="18.899999999999999"/>
        <n v="141.4"/>
        <n v="62.6"/>
        <n v="80.099999999999994"/>
        <n v="126.5"/>
        <n v="103"/>
        <m/>
      </sharedItems>
      <fieldGroup base="3">
        <rangePr autoStart="0" autoEnd="0" startNum="0" endNum="150" groupInterval="50"/>
        <groupItems count="5">
          <s v="&lt;0 or (blank)"/>
          <s v="0-50"/>
          <s v="50-100"/>
          <s v="100-150"/>
          <s v="&gt;150"/>
        </groupItems>
      </fieldGroup>
    </cacheField>
    <cacheField name="peak_production_bopd" numFmtId="165">
      <sharedItems containsString="0" containsBlank="1" containsNumber="1" containsInteger="1" minValue="1109" maxValue="43102"/>
    </cacheField>
    <cacheField name="capex_usd_million" numFmtId="166">
      <sharedItems containsString="0" containsBlank="1" containsNumber="1" minValue="20.2" maxValue="712.3"/>
    </cacheField>
    <cacheField name="opex_usd_per_bbl" numFmtId="0">
      <sharedItems containsString="0" containsBlank="1" containsNumber="1" minValue="10.199999999999999" maxValue="29.6"/>
    </cacheField>
    <cacheField name="project_npv_million" numFmtId="166">
      <sharedItems containsString="0" containsBlank="1" containsNumber="1" minValue="-13.6" maxValue="491"/>
    </cacheField>
    <cacheField name="project_irr" numFmtId="9">
      <sharedItems containsString="0" containsBlank="1" containsNumber="1" minValue="0.06" maxValue="0.247"/>
    </cacheField>
    <cacheField name="payback_period_years" numFmtId="0">
      <sharedItems containsString="0" containsBlank="1" containsNumber="1" minValue="0.4" maxValue="11.5"/>
    </cacheField>
    <cacheField name="Feasibility Status" numFmtId="0">
      <sharedItems containsBlank="1" count="3">
        <s v="Approved for FID"/>
        <s v="Reject / Redesig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x v="0"/>
    <s v="Badak-10 (Offshore)"/>
    <x v="0"/>
    <x v="0"/>
    <n v="6209"/>
    <n v="95.5"/>
    <n v="21.4"/>
    <n v="58"/>
    <n v="0.13700000000000001"/>
    <n v="1"/>
    <x v="0"/>
  </r>
  <r>
    <x v="1"/>
    <s v="Sembilang-11 (Offshore)"/>
    <x v="0"/>
    <x v="1"/>
    <n v="12525"/>
    <n v="273.60000000000002"/>
    <n v="27"/>
    <n v="170.7"/>
    <n v="0.20100000000000001"/>
    <n v="1.5"/>
    <x v="0"/>
  </r>
  <r>
    <x v="2"/>
    <s v="Gamma-12 (Offshore)"/>
    <x v="0"/>
    <x v="2"/>
    <n v="34691"/>
    <n v="672.9"/>
    <n v="22"/>
    <n v="366.4"/>
    <n v="0.14699999999999999"/>
    <n v="1"/>
    <x v="0"/>
  </r>
  <r>
    <x v="3"/>
    <s v="Badak-13 (Offshore)"/>
    <x v="0"/>
    <x v="3"/>
    <n v="11996"/>
    <n v="192.6"/>
    <n v="24.9"/>
    <n v="80.2"/>
    <n v="0.16900000000000001"/>
    <n v="0.7"/>
    <x v="0"/>
  </r>
  <r>
    <x v="4"/>
    <s v="Mahakam-14 (Offshore)"/>
    <x v="0"/>
    <x v="4"/>
    <n v="22040"/>
    <n v="491.6"/>
    <n v="18.899999999999999"/>
    <n v="259.8"/>
    <n v="0.16400000000000001"/>
    <n v="1.4"/>
    <x v="0"/>
  </r>
  <r>
    <x v="5"/>
    <s v="Beta-15 (Offshore)"/>
    <x v="0"/>
    <x v="5"/>
    <n v="1109"/>
    <n v="20.2"/>
    <n v="20.3"/>
    <n v="-6.1"/>
    <n v="6.4000000000000001E-2"/>
    <n v="8.6999999999999993"/>
    <x v="1"/>
  </r>
  <r>
    <x v="6"/>
    <s v="Omega-16 (Onshore)"/>
    <x v="1"/>
    <x v="6"/>
    <n v="16730"/>
    <n v="134.80000000000001"/>
    <n v="13.9"/>
    <n v="139.30000000000001"/>
    <n v="0.21"/>
    <n v="0.4"/>
    <x v="0"/>
  </r>
  <r>
    <x v="7"/>
    <s v="Epsilon-17 (Onshore)"/>
    <x v="1"/>
    <x v="7"/>
    <n v="12382"/>
    <n v="125.9"/>
    <n v="13.2"/>
    <n v="168.3"/>
    <n v="0.125"/>
    <n v="0.6"/>
    <x v="0"/>
  </r>
  <r>
    <x v="8"/>
    <s v="Omega-18 (Offshore)"/>
    <x v="0"/>
    <x v="8"/>
    <n v="6534"/>
    <n v="137.69999999999999"/>
    <n v="29.2"/>
    <n v="95.4"/>
    <n v="0.191"/>
    <n v="1.2"/>
    <x v="0"/>
  </r>
  <r>
    <x v="9"/>
    <s v="Banyu_Urip-19 (Offshore)"/>
    <x v="0"/>
    <x v="9"/>
    <n v="24689"/>
    <n v="297.10000000000002"/>
    <n v="20.5"/>
    <n v="211.7"/>
    <n v="0.19500000000000001"/>
    <n v="0.8"/>
    <x v="0"/>
  </r>
  <r>
    <x v="10"/>
    <s v="Alpha-20 (Onshore)"/>
    <x v="1"/>
    <x v="10"/>
    <n v="22330"/>
    <n v="226.4"/>
    <n v="12.9"/>
    <n v="126.9"/>
    <n v="0.153"/>
    <n v="0.6"/>
    <x v="0"/>
  </r>
  <r>
    <x v="11"/>
    <s v="Banyu_Urip-21 (Offshore)"/>
    <x v="0"/>
    <x v="11"/>
    <n v="26964"/>
    <n v="409.1"/>
    <n v="21.5"/>
    <n v="334.5"/>
    <n v="0.193"/>
    <n v="0.8"/>
    <x v="0"/>
  </r>
  <r>
    <x v="12"/>
    <s v="Gamma-22 (Onshore)"/>
    <x v="1"/>
    <x v="12"/>
    <n v="12712"/>
    <n v="109.5"/>
    <n v="16.8"/>
    <n v="-5.4"/>
    <n v="0.06"/>
    <n v="9.1999999999999993"/>
    <x v="1"/>
  </r>
  <r>
    <x v="13"/>
    <s v="Arjuna-23 (Onshore)"/>
    <x v="1"/>
    <x v="13"/>
    <n v="8842"/>
    <n v="89.1"/>
    <n v="15.7"/>
    <n v="103.7"/>
    <n v="0.185"/>
    <n v="0.6"/>
    <x v="0"/>
  </r>
  <r>
    <x v="14"/>
    <s v="Sembilang-24 (Onshore)"/>
    <x v="1"/>
    <x v="14"/>
    <n v="6700"/>
    <n v="83.2"/>
    <n v="12.4"/>
    <n v="60.3"/>
    <n v="0.13300000000000001"/>
    <n v="0.6"/>
    <x v="0"/>
  </r>
  <r>
    <x v="15"/>
    <s v="Delta-25 (Offshore)"/>
    <x v="0"/>
    <x v="15"/>
    <n v="9910"/>
    <n v="151.6"/>
    <n v="21.1"/>
    <n v="123"/>
    <n v="0.23"/>
    <n v="0.8"/>
    <x v="0"/>
  </r>
  <r>
    <x v="16"/>
    <s v="Banyu_Urip-26 (Onshore)"/>
    <x v="1"/>
    <x v="16"/>
    <n v="24453"/>
    <n v="250.6"/>
    <n v="10.7"/>
    <n v="297.10000000000002"/>
    <n v="0.20799999999999999"/>
    <n v="0.6"/>
    <x v="0"/>
  </r>
  <r>
    <x v="17"/>
    <s v="Arjuna-27 (Offshore)"/>
    <x v="0"/>
    <x v="17"/>
    <n v="18166"/>
    <n v="223.1"/>
    <n v="25.5"/>
    <n v="152.5"/>
    <n v="0.13100000000000001"/>
    <n v="0.6"/>
    <x v="0"/>
  </r>
  <r>
    <x v="18"/>
    <s v="Epsilon-28 (Offshore)"/>
    <x v="0"/>
    <x v="18"/>
    <n v="3462"/>
    <n v="54.6"/>
    <n v="18.899999999999999"/>
    <n v="38"/>
    <n v="0.192"/>
    <n v="0.8"/>
    <x v="0"/>
  </r>
  <r>
    <x v="19"/>
    <s v="Delta-29 (Offshore)"/>
    <x v="0"/>
    <x v="19"/>
    <n v="12071"/>
    <n v="171.2"/>
    <n v="18.600000000000001"/>
    <n v="139.6"/>
    <n v="0.222"/>
    <n v="0.7"/>
    <x v="0"/>
  </r>
  <r>
    <x v="20"/>
    <s v="Banyu_Urip-30 (Onshore)"/>
    <x v="1"/>
    <x v="20"/>
    <n v="11632"/>
    <n v="135.9"/>
    <n v="10.199999999999999"/>
    <n v="138.19999999999999"/>
    <n v="0.247"/>
    <n v="0.9"/>
    <x v="0"/>
  </r>
  <r>
    <x v="21"/>
    <s v="Mahakam-31 (Offshore)"/>
    <x v="0"/>
    <x v="21"/>
    <n v="31118"/>
    <n v="463"/>
    <n v="23.3"/>
    <n v="156.9"/>
    <n v="0.216"/>
    <n v="0.9"/>
    <x v="0"/>
  </r>
  <r>
    <x v="22"/>
    <s v="Alpha-32 (Onshore)"/>
    <x v="1"/>
    <x v="22"/>
    <n v="30165"/>
    <n v="325.8"/>
    <n v="12.6"/>
    <n v="315.39999999999998"/>
    <n v="0.246"/>
    <n v="0.7"/>
    <x v="0"/>
  </r>
  <r>
    <x v="23"/>
    <s v="Beta-33 (Onshore)"/>
    <x v="1"/>
    <x v="23"/>
    <n v="7073"/>
    <n v="59.2"/>
    <n v="17.899999999999999"/>
    <n v="84.8"/>
    <n v="0.23300000000000001"/>
    <n v="0.6"/>
    <x v="0"/>
  </r>
  <r>
    <x v="24"/>
    <s v="Delta-34 (Offshore)"/>
    <x v="0"/>
    <x v="24"/>
    <n v="38633"/>
    <n v="712.3"/>
    <n v="28.3"/>
    <n v="-12.1"/>
    <n v="6.6000000000000003E-2"/>
    <n v="11.5"/>
    <x v="1"/>
  </r>
  <r>
    <x v="25"/>
    <s v="Beta-35 (Offshore)"/>
    <x v="0"/>
    <x v="25"/>
    <n v="10367"/>
    <n v="169.4"/>
    <n v="18.5"/>
    <n v="73.900000000000006"/>
    <n v="0.187"/>
    <n v="0.8"/>
    <x v="0"/>
  </r>
  <r>
    <x v="26"/>
    <s v="Banyu_Urip-36 (Offshore)"/>
    <x v="0"/>
    <x v="26"/>
    <n v="43102"/>
    <n v="579.79999999999995"/>
    <n v="24.4"/>
    <n v="376.5"/>
    <n v="0.23200000000000001"/>
    <n v="0.9"/>
    <x v="0"/>
  </r>
  <r>
    <x v="27"/>
    <s v="Widuri-37 (Offshore)"/>
    <x v="0"/>
    <x v="27"/>
    <n v="19210"/>
    <n v="257.8"/>
    <n v="27.9"/>
    <n v="119.4"/>
    <n v="0.23799999999999999"/>
    <n v="0.8"/>
    <x v="0"/>
  </r>
  <r>
    <x v="28"/>
    <s v="Mahakam-38 (Onshore)"/>
    <x v="1"/>
    <x v="28"/>
    <n v="2238"/>
    <n v="23.6"/>
    <n v="17.7"/>
    <n v="21.2"/>
    <n v="0.21199999999999999"/>
    <n v="0.6"/>
    <x v="0"/>
  </r>
  <r>
    <x v="29"/>
    <s v="Arjuna-39 (Offshore)"/>
    <x v="0"/>
    <x v="29"/>
    <n v="12680"/>
    <n v="230.2"/>
    <n v="28.1"/>
    <n v="117.2"/>
    <n v="0.21199999999999999"/>
    <n v="0.9"/>
    <x v="0"/>
  </r>
  <r>
    <x v="30"/>
    <s v="Beta-40 (Offshore)"/>
    <x v="0"/>
    <x v="30"/>
    <n v="24110"/>
    <n v="367.8"/>
    <n v="22.9"/>
    <n v="199.9"/>
    <n v="0.17599999999999999"/>
    <n v="0.8"/>
    <x v="0"/>
  </r>
  <r>
    <x v="31"/>
    <s v="Mahakam-41 (Offshore)"/>
    <x v="0"/>
    <x v="31"/>
    <n v="25390"/>
    <n v="471.8"/>
    <n v="19.7"/>
    <n v="228.4"/>
    <n v="0.19400000000000001"/>
    <n v="1.2"/>
    <x v="0"/>
  </r>
  <r>
    <x v="32"/>
    <s v="Arjuna-42 (Offshore)"/>
    <x v="0"/>
    <x v="32"/>
    <n v="24555"/>
    <n v="303.3"/>
    <n v="29.6"/>
    <n v="241.1"/>
    <n v="0.22700000000000001"/>
    <n v="0.8"/>
    <x v="0"/>
  </r>
  <r>
    <x v="33"/>
    <s v="Banyu_Urip-43 (Onshore)"/>
    <x v="1"/>
    <x v="33"/>
    <n v="15210"/>
    <n v="214.7"/>
    <n v="10.3"/>
    <n v="200.4"/>
    <n v="0.151"/>
    <n v="0.8"/>
    <x v="0"/>
  </r>
  <r>
    <x v="34"/>
    <s v="Alpha-44 (Onshore)"/>
    <x v="1"/>
    <x v="34"/>
    <n v="17194"/>
    <n v="221.4"/>
    <n v="13.5"/>
    <n v="207.8"/>
    <n v="0.13100000000000001"/>
    <n v="0.8"/>
    <x v="0"/>
  </r>
  <r>
    <x v="35"/>
    <s v="Mahakam-45 (Onshore)"/>
    <x v="1"/>
    <x v="35"/>
    <n v="22669"/>
    <n v="283.3"/>
    <n v="12"/>
    <n v="212.6"/>
    <n v="0.224"/>
    <n v="0.9"/>
    <x v="0"/>
  </r>
  <r>
    <x v="36"/>
    <s v="Gamma-46 (Offshore)"/>
    <x v="0"/>
    <x v="36"/>
    <n v="3639"/>
    <n v="63.1"/>
    <n v="19"/>
    <n v="42.5"/>
    <n v="0.16200000000000001"/>
    <n v="0.8"/>
    <x v="0"/>
  </r>
  <r>
    <x v="37"/>
    <s v="Gamma-47 (Offshore)"/>
    <x v="0"/>
    <x v="37"/>
    <n v="13868"/>
    <n v="242.7"/>
    <n v="26.3"/>
    <n v="190.9"/>
    <n v="0.23899999999999999"/>
    <n v="0.9"/>
    <x v="0"/>
  </r>
  <r>
    <x v="38"/>
    <s v="Widuri-48 (Offshore)"/>
    <x v="0"/>
    <x v="38"/>
    <n v="11004"/>
    <n v="143.9"/>
    <n v="29"/>
    <n v="112.3"/>
    <n v="0.13"/>
    <n v="0.6"/>
    <x v="0"/>
  </r>
  <r>
    <x v="39"/>
    <s v="Arjuna-49 (Offshore)"/>
    <x v="0"/>
    <x v="39"/>
    <n v="33059"/>
    <n v="505.9"/>
    <n v="20.9"/>
    <n v="221.4"/>
    <n v="0.158"/>
    <n v="1.1000000000000001"/>
    <x v="0"/>
  </r>
  <r>
    <x v="40"/>
    <s v="Sembilang-50 (Offshore)"/>
    <x v="0"/>
    <x v="40"/>
    <n v="16895"/>
    <n v="266.5"/>
    <n v="20.2"/>
    <n v="207.6"/>
    <n v="0.17"/>
    <n v="1"/>
    <x v="0"/>
  </r>
  <r>
    <x v="41"/>
    <s v="Beta-51 (Onshore)"/>
    <x v="1"/>
    <x v="41"/>
    <n v="37528"/>
    <n v="502.1"/>
    <n v="15.1"/>
    <n v="491"/>
    <n v="0.245"/>
    <n v="0.6"/>
    <x v="0"/>
  </r>
  <r>
    <x v="42"/>
    <s v="Gamma-52 (Offshore)"/>
    <x v="0"/>
    <x v="42"/>
    <n v="15755"/>
    <n v="268.5"/>
    <n v="25.9"/>
    <n v="-13.6"/>
    <n v="6.3E-2"/>
    <n v="8.3000000000000007"/>
    <x v="1"/>
  </r>
  <r>
    <x v="43"/>
    <s v="Mahakam-53 (Onshore)"/>
    <x v="1"/>
    <x v="43"/>
    <n v="32532"/>
    <n v="327.39999999999998"/>
    <n v="15.8"/>
    <n v="344.1"/>
    <n v="0.17"/>
    <n v="0.5"/>
    <x v="0"/>
  </r>
  <r>
    <x v="44"/>
    <s v="Alpha-54 (Onshore)"/>
    <x v="1"/>
    <x v="44"/>
    <n v="27186"/>
    <n v="250.2"/>
    <n v="14.5"/>
    <n v="241.6"/>
    <n v="0.16700000000000001"/>
    <n v="0.5"/>
    <x v="0"/>
  </r>
  <r>
    <x v="45"/>
    <s v="Alpha-55 (Offshore)"/>
    <x v="0"/>
    <x v="45"/>
    <n v="6967"/>
    <n v="100.6"/>
    <n v="19.399999999999999"/>
    <n v="62.6"/>
    <n v="0.124"/>
    <n v="0.8"/>
    <x v="0"/>
  </r>
  <r>
    <x v="46"/>
    <s v="Arjuna-56 (Offshore)"/>
    <x v="0"/>
    <x v="46"/>
    <n v="23444"/>
    <n v="315.8"/>
    <n v="19.100000000000001"/>
    <n v="175.8"/>
    <n v="0.19800000000000001"/>
    <n v="0.7"/>
    <x v="0"/>
  </r>
  <r>
    <x v="47"/>
    <s v="Widuri-57 (Offshore)"/>
    <x v="0"/>
    <x v="47"/>
    <n v="26335"/>
    <n v="385.6"/>
    <n v="21.7"/>
    <n v="175.8"/>
    <n v="0.13"/>
    <n v="1"/>
    <x v="0"/>
  </r>
  <r>
    <x v="48"/>
    <s v="Gamma-58 (Onshore)"/>
    <x v="1"/>
    <x v="48"/>
    <n v="37634"/>
    <n v="449.3"/>
    <n v="11.4"/>
    <n v="296.2"/>
    <n v="0.19600000000000001"/>
    <n v="0.8"/>
    <x v="0"/>
  </r>
  <r>
    <x v="49"/>
    <s v="Delta-59 (Onshore)"/>
    <x v="1"/>
    <x v="49"/>
    <n v="12732"/>
    <n v="105.9"/>
    <n v="16.100000000000001"/>
    <n v="83.9"/>
    <n v="0.23400000000000001"/>
    <n v="0.5"/>
    <x v="0"/>
  </r>
  <r>
    <x v="50"/>
    <s v="Epsilon-60 (Onshore)"/>
    <x v="1"/>
    <x v="50"/>
    <n v="8672"/>
    <n v="118.5"/>
    <n v="12.8"/>
    <n v="64.900000000000006"/>
    <n v="0.17299999999999999"/>
    <n v="0.9"/>
    <x v="0"/>
  </r>
  <r>
    <x v="51"/>
    <s v="Badak-61 (Offshore)"/>
    <x v="0"/>
    <x v="51"/>
    <n v="28594"/>
    <n v="453.7"/>
    <n v="25.8"/>
    <n v="-2.2000000000000002"/>
    <n v="6.5000000000000002E-2"/>
    <n v="10.9"/>
    <x v="1"/>
  </r>
  <r>
    <x v="52"/>
    <s v="Delta-62 (Offshore)"/>
    <x v="0"/>
    <x v="52"/>
    <n v="32668"/>
    <n v="437.2"/>
    <n v="29.4"/>
    <n v="266.5"/>
    <n v="0.22800000000000001"/>
    <n v="0.8"/>
    <x v="0"/>
  </r>
  <r>
    <x v="53"/>
    <s v="Sembilang-63 (Offshore)"/>
    <x v="0"/>
    <x v="53"/>
    <n v="15925"/>
    <n v="268.5"/>
    <n v="21.1"/>
    <n v="82.9"/>
    <n v="0.125"/>
    <n v="0.8"/>
    <x v="0"/>
  </r>
  <r>
    <x v="54"/>
    <s v="Gamma-64 (Onshore)"/>
    <x v="1"/>
    <x v="54"/>
    <n v="4215"/>
    <n v="38.200000000000003"/>
    <n v="17.5"/>
    <n v="27.5"/>
    <n v="0.13"/>
    <n v="0.6"/>
    <x v="0"/>
  </r>
  <r>
    <x v="55"/>
    <s v="Widuri-65 (Offshore)"/>
    <x v="0"/>
    <x v="55"/>
    <n v="35339"/>
    <n v="601.20000000000005"/>
    <n v="24.5"/>
    <n v="348"/>
    <n v="0.217"/>
    <n v="1.2"/>
    <x v="0"/>
  </r>
  <r>
    <x v="56"/>
    <s v="Arjuna-66 (Offshore)"/>
    <x v="0"/>
    <x v="56"/>
    <n v="16101"/>
    <n v="283.3"/>
    <n v="25.4"/>
    <n v="159.69999999999999"/>
    <n v="0.214"/>
    <n v="1.2"/>
    <x v="0"/>
  </r>
  <r>
    <x v="57"/>
    <s v="Omega-67 (Offshore)"/>
    <x v="0"/>
    <x v="57"/>
    <n v="22176"/>
    <n v="393.8"/>
    <n v="29.3"/>
    <n v="168.6"/>
    <n v="0.151"/>
    <n v="0.9"/>
    <x v="0"/>
  </r>
  <r>
    <x v="58"/>
    <s v="Banyu_Urip-68 (Onshore)"/>
    <x v="1"/>
    <x v="58"/>
    <n v="25852"/>
    <n v="417.6"/>
    <n v="15.1"/>
    <n v="244.6"/>
    <n v="0.156"/>
    <n v="0.8"/>
    <x v="0"/>
  </r>
  <r>
    <x v="59"/>
    <s v="Badak-69 (Onshore)"/>
    <x v="1"/>
    <x v="59"/>
    <n v="30844"/>
    <n v="329.7"/>
    <n v="15.4"/>
    <n v="335.4"/>
    <n v="0.218"/>
    <n v="0.5"/>
    <x v="0"/>
  </r>
  <r>
    <x v="60"/>
    <m/>
    <x v="2"/>
    <x v="60"/>
    <m/>
    <m/>
    <m/>
    <m/>
    <m/>
    <m/>
    <x v="2"/>
  </r>
  <r>
    <x v="60"/>
    <m/>
    <x v="2"/>
    <x v="60"/>
    <m/>
    <m/>
    <m/>
    <m/>
    <m/>
    <m/>
    <x v="2"/>
  </r>
  <r>
    <x v="60"/>
    <m/>
    <x v="2"/>
    <x v="60"/>
    <m/>
    <m/>
    <m/>
    <m/>
    <m/>
    <m/>
    <x v="2"/>
  </r>
  <r>
    <x v="60"/>
    <m/>
    <x v="2"/>
    <x v="60"/>
    <m/>
    <m/>
    <m/>
    <m/>
    <m/>
    <m/>
    <x v="2"/>
  </r>
  <r>
    <x v="60"/>
    <m/>
    <x v="2"/>
    <x v="60"/>
    <m/>
    <m/>
    <m/>
    <m/>
    <m/>
    <m/>
    <x v="2"/>
  </r>
  <r>
    <x v="60"/>
    <m/>
    <x v="2"/>
    <x v="60"/>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565E80-F83B-4277-B0F1-8967045A19DB}" name="PivotTable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serves Scale (MMBOE)">
  <location ref="A26:D30" firstHeaderRow="0" firstDataRow="1" firstDataCol="1"/>
  <pivotFields count="11">
    <pivotField showAll="0"/>
    <pivotField showAll="0"/>
    <pivotField showAll="0"/>
    <pivotField axis="axisRow" showAll="0">
      <items count="6">
        <item h="1" x="0"/>
        <item x="1"/>
        <item x="2"/>
        <item x="3"/>
        <item x="4"/>
        <item t="default"/>
      </items>
    </pivotField>
    <pivotField showAll="0"/>
    <pivotField dataField="1" showAll="0"/>
    <pivotField dataField="1" showAll="0"/>
    <pivotField dataField="1" showAll="0"/>
    <pivotField showAll="0"/>
    <pivotField showAll="0"/>
    <pivotField showAll="0"/>
  </pivotFields>
  <rowFields count="1">
    <field x="3"/>
  </rowFields>
  <rowItems count="4">
    <i>
      <x v="1"/>
    </i>
    <i>
      <x v="2"/>
    </i>
    <i>
      <x v="3"/>
    </i>
    <i t="grand">
      <x/>
    </i>
  </rowItems>
  <colFields count="1">
    <field x="-2"/>
  </colFields>
  <colItems count="3">
    <i>
      <x/>
    </i>
    <i i="1">
      <x v="1"/>
    </i>
    <i i="2">
      <x v="2"/>
    </i>
  </colItems>
  <dataFields count="3">
    <dataField name="Total CAPEX (USD Million)" fld="5" baseField="0" baseItem="0"/>
    <dataField name="Avg. OPEX (USD/bbl)" fld="6" subtotal="average" baseField="3" baseItem="1" numFmtId="173"/>
    <dataField name="Total NPV (USD Million)" fld="7" baseField="0" baseItem="0"/>
  </dataFields>
  <formats count="16">
    <format dxfId="72">
      <pivotArea type="all" dataOnly="0" outline="0" fieldPosition="0"/>
    </format>
    <format dxfId="71">
      <pivotArea outline="0" collapsedLevelsAreSubtotals="1" fieldPosition="0"/>
    </format>
    <format dxfId="70">
      <pivotArea field="3" type="button" dataOnly="0" labelOnly="1" outline="0" axis="axisRow" fieldPosition="0"/>
    </format>
    <format dxfId="69">
      <pivotArea dataOnly="0" labelOnly="1" fieldPosition="0">
        <references count="1">
          <reference field="3" count="3">
            <x v="1"/>
            <x v="2"/>
            <x v="3"/>
          </reference>
        </references>
      </pivotArea>
    </format>
    <format dxfId="68">
      <pivotArea dataOnly="0" labelOnly="1" grandRow="1" outline="0" fieldPosition="0"/>
    </format>
    <format dxfId="67">
      <pivotArea dataOnly="0" labelOnly="1" outline="0" fieldPosition="0">
        <references count="1">
          <reference field="4294967294" count="3">
            <x v="0"/>
            <x v="1"/>
            <x v="2"/>
          </reference>
        </references>
      </pivotArea>
    </format>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dataOnly="0" labelOnly="1" fieldPosition="0">
        <references count="1">
          <reference field="3" count="3">
            <x v="1"/>
            <x v="2"/>
            <x v="3"/>
          </reference>
        </references>
      </pivotArea>
    </format>
    <format dxfId="44">
      <pivotArea dataOnly="0" labelOnly="1" grandRow="1" outline="0" fieldPosition="0"/>
    </format>
    <format dxfId="43">
      <pivotArea dataOnly="0" labelOnly="1" outline="0" fieldPosition="0">
        <references count="1">
          <reference field="4294967294" count="3">
            <x v="0"/>
            <x v="1"/>
            <x v="2"/>
          </reference>
        </references>
      </pivotArea>
    </format>
    <format dxfId="23">
      <pivotArea field="3" type="button" dataOnly="0" labelOnly="1" outline="0" axis="axisRow" fieldPosition="0"/>
    </format>
    <format dxfId="22">
      <pivotArea dataOnly="0" labelOnly="1" outline="0" fieldPosition="0">
        <references count="1">
          <reference field="4294967294" count="1">
            <x v="0"/>
          </reference>
        </references>
      </pivotArea>
    </format>
    <format dxfId="21">
      <pivotArea dataOnly="0" labelOnly="1" outline="0" fieldPosition="0">
        <references count="1">
          <reference field="4294967294" count="1">
            <x v="1"/>
          </reference>
        </references>
      </pivotArea>
    </format>
    <format dxfId="20">
      <pivotArea dataOnly="0" labelOnly="1" outline="0" fieldPosition="0">
        <references count="1">
          <reference field="4294967294"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40A001-CAD2-4C1A-92A3-FC135F89BFD8}" name="PivotTable5" cacheId="4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Environment Type" colHeaderCaption="">
  <location ref="A9:D13" firstHeaderRow="1" firstDataRow="2" firstDataCol="1"/>
  <pivotFields count="11">
    <pivotField dataField="1" showAll="0">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axis="axisRow" showAll="0">
      <items count="4">
        <item x="0"/>
        <item x="1"/>
        <item h="1" x="2"/>
        <item t="default"/>
      </items>
    </pivotField>
    <pivotField showAll="0"/>
    <pivotField showAll="0"/>
    <pivotField showAll="0"/>
    <pivotField showAll="0"/>
    <pivotField showAll="0"/>
    <pivotField showAll="0"/>
    <pivotField showAll="0"/>
    <pivotField axis="axisCol" showAll="0">
      <items count="4">
        <item n="Approved For FID" x="0"/>
        <item x="1"/>
        <item x="2"/>
        <item t="default"/>
      </items>
    </pivotField>
  </pivotFields>
  <rowFields count="1">
    <field x="2"/>
  </rowFields>
  <rowItems count="3">
    <i>
      <x/>
    </i>
    <i>
      <x v="1"/>
    </i>
    <i t="grand">
      <x/>
    </i>
  </rowItems>
  <colFields count="1">
    <field x="10"/>
  </colFields>
  <colItems count="3">
    <i>
      <x/>
    </i>
    <i>
      <x v="1"/>
    </i>
    <i t="grand">
      <x/>
    </i>
  </colItems>
  <dataFields count="1">
    <dataField name="Count of field_id" fld="0" subtotal="count" baseField="0" baseItem="0"/>
  </dataFields>
  <formats count="21">
    <format dxfId="74">
      <pivotArea field="2" type="button" dataOnly="0" labelOnly="1" outline="0" axis="axisRow" fieldPosition="0"/>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10" type="button" dataOnly="0" labelOnly="1" outline="0" axis="axisCol" fieldPosition="0"/>
    </format>
    <format dxfId="62">
      <pivotArea type="topRight" dataOnly="0" labelOnly="1" outline="0" fieldPosition="0"/>
    </format>
    <format dxfId="61">
      <pivotArea field="2" type="button" dataOnly="0" labelOnly="1" outline="0" axis="axisRow" fieldPosition="0"/>
    </format>
    <format dxfId="60">
      <pivotArea dataOnly="0" labelOnly="1" fieldPosition="0">
        <references count="1">
          <reference field="2" count="0"/>
        </references>
      </pivotArea>
    </format>
    <format dxfId="59">
      <pivotArea dataOnly="0" labelOnly="1" grandRow="1" outline="0" fieldPosition="0"/>
    </format>
    <format dxfId="58">
      <pivotArea dataOnly="0" labelOnly="1" fieldPosition="0">
        <references count="1">
          <reference field="10" count="2">
            <x v="0"/>
            <x v="1"/>
          </reference>
        </references>
      </pivotArea>
    </format>
    <format dxfId="57">
      <pivotArea dataOnly="0" labelOnly="1" grandCol="1" outline="0" fieldPosition="0"/>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10" type="button" dataOnly="0" labelOnly="1" outline="0" axis="axisCol" fieldPosition="0"/>
    </format>
    <format dxfId="38">
      <pivotArea type="topRight" dataOnly="0" labelOnly="1" outline="0"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fieldPosition="0">
        <references count="1">
          <reference field="10" count="2">
            <x v="0"/>
            <x v="1"/>
          </reference>
        </references>
      </pivotArea>
    </format>
    <format dxfId="33">
      <pivotArea dataOnly="0" labelOnly="1" grandCol="1" outline="0" fieldPosition="0"/>
    </format>
  </formats>
  <chartFormats count="2">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1A6759-5A16-4FC1-96DE-2C742393E73A}"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al Breakdown">
  <location ref="A16:C23" firstHeaderRow="0" firstDataRow="1" firstDataCol="1"/>
  <pivotFields count="11">
    <pivotField showAll="0"/>
    <pivotField showAll="0"/>
    <pivotField axis="axisRow" showAll="0">
      <items count="4">
        <item x="0"/>
        <item x="1"/>
        <item h="1" x="2"/>
        <item t="default"/>
      </items>
    </pivotField>
    <pivotField showAll="0"/>
    <pivotField showAll="0"/>
    <pivotField showAll="0"/>
    <pivotField showAll="0"/>
    <pivotField showAll="0"/>
    <pivotField dataField="1" showAll="0"/>
    <pivotField dataField="1" showAll="0"/>
    <pivotField axis="axisRow" showAll="0">
      <items count="4">
        <item x="0"/>
        <item x="1"/>
        <item x="2"/>
        <item t="default"/>
      </items>
    </pivotField>
  </pivotFields>
  <rowFields count="2">
    <field x="2"/>
    <field x="10"/>
  </rowFields>
  <rowItems count="7">
    <i>
      <x/>
    </i>
    <i r="1">
      <x/>
    </i>
    <i r="1">
      <x v="1"/>
    </i>
    <i>
      <x v="1"/>
    </i>
    <i r="1">
      <x/>
    </i>
    <i r="1">
      <x v="1"/>
    </i>
    <i t="grand">
      <x/>
    </i>
  </rowItems>
  <colFields count="1">
    <field x="-2"/>
  </colFields>
  <colItems count="2">
    <i>
      <x/>
    </i>
    <i i="1">
      <x v="1"/>
    </i>
  </colItems>
  <dataFields count="2">
    <dataField name="Avg. IRR (%)" fld="8" subtotal="average" baseField="2" baseItem="0" numFmtId="9"/>
    <dataField name="Avg. Payback Period (Yrs)" fld="9" subtotal="average" baseField="2" baseItem="0" numFmtId="173"/>
  </dataFields>
  <formats count="19">
    <format dxfId="75">
      <pivotArea outline="0" collapsedLevelsAreSubtotals="1" fieldPosition="0">
        <references count="1">
          <reference field="4294967294" count="1" selected="0">
            <x v="1"/>
          </reference>
        </references>
      </pivotArea>
    </format>
    <format dxfId="73">
      <pivotArea field="2" type="button" dataOnly="0" labelOnly="1" outline="0" axis="axisRow" fieldPosition="0"/>
    </format>
    <format dxfId="56">
      <pivotArea type="all" dataOnly="0" outline="0" fieldPosition="0"/>
    </format>
    <format dxfId="55">
      <pivotArea outline="0" collapsedLevelsAreSubtotals="1" fieldPosition="0"/>
    </format>
    <format dxfId="54">
      <pivotArea field="2" type="button" dataOnly="0" labelOnly="1" outline="0" axis="axisRow" fieldPosition="0"/>
    </format>
    <format dxfId="53">
      <pivotArea dataOnly="0" labelOnly="1" fieldPosition="0">
        <references count="1">
          <reference field="2" count="0"/>
        </references>
      </pivotArea>
    </format>
    <format dxfId="52">
      <pivotArea dataOnly="0" labelOnly="1" grandRow="1" outline="0" fieldPosition="0"/>
    </format>
    <format dxfId="51">
      <pivotArea dataOnly="0" labelOnly="1" fieldPosition="0">
        <references count="2">
          <reference field="2" count="1" selected="0">
            <x v="0"/>
          </reference>
          <reference field="10" count="2">
            <x v="0"/>
            <x v="1"/>
          </reference>
        </references>
      </pivotArea>
    </format>
    <format dxfId="50">
      <pivotArea dataOnly="0" labelOnly="1" fieldPosition="0">
        <references count="2">
          <reference field="2" count="1" selected="0">
            <x v="1"/>
          </reference>
          <reference field="10" count="2">
            <x v="0"/>
            <x v="1"/>
          </reference>
        </references>
      </pivotArea>
    </format>
    <format dxfId="49">
      <pivotArea dataOnly="0" labelOnly="1" outline="0" fieldPosition="0">
        <references count="1">
          <reference field="4294967294" count="2">
            <x v="0"/>
            <x v="1"/>
          </reference>
        </references>
      </pivotArea>
    </format>
    <format dxfId="32">
      <pivotArea type="all" dataOnly="0" outline="0" fieldPosition="0"/>
    </format>
    <format dxfId="31">
      <pivotArea outline="0" collapsedLevelsAreSubtotals="1" fieldPosition="0"/>
    </format>
    <format dxfId="30">
      <pivotArea field="2" type="button" dataOnly="0" labelOnly="1" outline="0" axis="axisRow" fieldPosition="0"/>
    </format>
    <format dxfId="29">
      <pivotArea dataOnly="0" labelOnly="1" fieldPosition="0">
        <references count="1">
          <reference field="2" count="0"/>
        </references>
      </pivotArea>
    </format>
    <format dxfId="28">
      <pivotArea dataOnly="0" labelOnly="1" grandRow="1" outline="0" fieldPosition="0"/>
    </format>
    <format dxfId="27">
      <pivotArea dataOnly="0" labelOnly="1" fieldPosition="0">
        <references count="2">
          <reference field="2" count="1" selected="0">
            <x v="0"/>
          </reference>
          <reference field="10" count="2">
            <x v="0"/>
            <x v="1"/>
          </reference>
        </references>
      </pivotArea>
    </format>
    <format dxfId="26">
      <pivotArea dataOnly="0" labelOnly="1" fieldPosition="0">
        <references count="2">
          <reference field="2" count="1" selected="0">
            <x v="1"/>
          </reference>
          <reference field="10" count="2">
            <x v="0"/>
            <x v="1"/>
          </reference>
        </references>
      </pivotArea>
    </format>
    <format dxfId="25">
      <pivotArea dataOnly="0" labelOnly="1" outline="0" fieldPosition="0">
        <references count="1">
          <reference field="4294967294" count="2">
            <x v="0"/>
            <x v="1"/>
          </reference>
        </references>
      </pivotArea>
    </format>
    <format dxfId="24">
      <pivotArea dataOnly="0" labelOnly="1" outline="0" fieldPosition="0">
        <references count="1">
          <reference field="4294967294"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ECA4F0-1AC3-4134-AB64-C50F75AF717D}" name="PivotTable2"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Environment Type">
  <location ref="A3:B6" firstHeaderRow="1" firstDataRow="1" firstDataCol="1"/>
  <pivotFields count="11">
    <pivotField dataField="1"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Total Projects" fld="0" subtotal="count" baseField="0" baseItem="0"/>
  </dataFields>
  <formats count="12">
    <format dxfId="8">
      <pivotArea type="all" dataOnly="0" outline="0" fieldPosition="0"/>
    </format>
    <format dxfId="9">
      <pivotArea outline="0" collapsedLevelsAreSubtotals="1" fieldPosition="0"/>
    </format>
    <format dxfId="10">
      <pivotArea field="2" type="button" dataOnly="0" labelOnly="1" outline="0" axis="axisRow" fieldPosition="0"/>
    </format>
    <format dxfId="11">
      <pivotArea dataOnly="0" labelOnly="1" fieldPosition="0">
        <references count="1">
          <reference field="2" count="0"/>
        </references>
      </pivotArea>
    </format>
    <format dxfId="12">
      <pivotArea dataOnly="0" labelOnly="1" grandRow="1" outline="0" fieldPosition="0"/>
    </format>
    <format dxfId="13">
      <pivotArea dataOnly="0" labelOnly="1" outline="0" fieldPosition="0">
        <references count="1">
          <reference field="4294967294" count="1">
            <x v="0"/>
          </reference>
        </references>
      </pivotArea>
    </format>
    <format dxfId="14">
      <pivotArea type="all" dataOnly="0" outline="0" fieldPosition="0"/>
    </format>
    <format dxfId="15">
      <pivotArea outline="0" collapsedLevelsAreSubtotals="1" fieldPosition="0"/>
    </format>
    <format dxfId="16">
      <pivotArea field="2" type="button" dataOnly="0" labelOnly="1" outline="0" axis="axisRow" fieldPosition="0"/>
    </format>
    <format dxfId="17">
      <pivotArea dataOnly="0" labelOnly="1" fieldPosition="0">
        <references count="1">
          <reference field="2" count="0"/>
        </references>
      </pivotArea>
    </format>
    <format dxfId="18">
      <pivotArea dataOnly="0" labelOnly="1" grandRow="1" outline="0" fieldPosition="0"/>
    </format>
    <format dxfId="19">
      <pivotArea dataOnly="0" labelOnly="1" outline="0" fieldPosition="0">
        <references count="1">
          <reference field="4294967294" count="1">
            <x v="0"/>
          </reference>
        </references>
      </pivotArea>
    </format>
  </formats>
  <chartFormats count="2">
    <chartFormat chart="19" format="0"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938E1-BDD0-42C3-B308-BEAD2D2F3FD1}">
  <dimension ref="A1:E37"/>
  <sheetViews>
    <sheetView topLeftCell="A11" zoomScale="69" workbookViewId="0">
      <selection activeCell="C41" sqref="C41"/>
    </sheetView>
  </sheetViews>
  <sheetFormatPr defaultRowHeight="14.4" x14ac:dyDescent="0.3"/>
  <cols>
    <col min="1" max="1" width="24.77734375" customWidth="1"/>
    <col min="2" max="2" width="11.109375" customWidth="1"/>
    <col min="3" max="3" width="96.33203125" customWidth="1"/>
  </cols>
  <sheetData>
    <row r="1" spans="1:5" ht="30" x14ac:dyDescent="0.3">
      <c r="A1" s="23" t="s">
        <v>158</v>
      </c>
      <c r="B1" s="24"/>
      <c r="C1" s="24"/>
      <c r="D1" s="24"/>
      <c r="E1" s="24"/>
    </row>
    <row r="3" spans="1:5" ht="17.399999999999999" x14ac:dyDescent="0.3">
      <c r="A3" s="22" t="s">
        <v>159</v>
      </c>
      <c r="B3" s="24"/>
    </row>
    <row r="4" spans="1:5" x14ac:dyDescent="0.3">
      <c r="A4" s="18"/>
    </row>
    <row r="5" spans="1:5" x14ac:dyDescent="0.3">
      <c r="A5" s="19" t="s">
        <v>160</v>
      </c>
    </row>
    <row r="6" spans="1:5" x14ac:dyDescent="0.3">
      <c r="A6" s="18"/>
    </row>
    <row r="7" spans="1:5" x14ac:dyDescent="0.3">
      <c r="A7" s="19" t="s">
        <v>161</v>
      </c>
    </row>
    <row r="9" spans="1:5" ht="17.399999999999999" x14ac:dyDescent="0.3">
      <c r="A9" s="22" t="s">
        <v>162</v>
      </c>
      <c r="B9" s="24"/>
      <c r="C9" s="24"/>
    </row>
    <row r="10" spans="1:5" x14ac:dyDescent="0.3">
      <c r="A10" s="18"/>
    </row>
    <row r="11" spans="1:5" x14ac:dyDescent="0.3">
      <c r="A11" s="20" t="s">
        <v>163</v>
      </c>
    </row>
    <row r="12" spans="1:5" x14ac:dyDescent="0.3">
      <c r="A12" s="18"/>
    </row>
    <row r="13" spans="1:5" s="24" customFormat="1" x14ac:dyDescent="0.3">
      <c r="A13" s="25" t="s">
        <v>191</v>
      </c>
    </row>
    <row r="15" spans="1:5" ht="17.399999999999999" x14ac:dyDescent="0.3">
      <c r="A15" s="22" t="s">
        <v>164</v>
      </c>
      <c r="B15" s="24"/>
      <c r="C15" s="24"/>
    </row>
    <row r="17" spans="1:3" x14ac:dyDescent="0.3">
      <c r="A17" s="21" t="s">
        <v>165</v>
      </c>
    </row>
    <row r="18" spans="1:3" ht="15" thickBot="1" x14ac:dyDescent="0.35"/>
    <row r="19" spans="1:3" ht="15" thickBot="1" x14ac:dyDescent="0.35">
      <c r="A19" s="26" t="s">
        <v>166</v>
      </c>
      <c r="B19" s="26" t="s">
        <v>167</v>
      </c>
      <c r="C19" s="26" t="s">
        <v>168</v>
      </c>
    </row>
    <row r="20" spans="1:3" ht="49.2" customHeight="1" thickBot="1" x14ac:dyDescent="0.35">
      <c r="A20" s="26" t="s">
        <v>0</v>
      </c>
      <c r="B20" s="27" t="s">
        <v>169</v>
      </c>
      <c r="C20" s="27" t="s">
        <v>170</v>
      </c>
    </row>
    <row r="21" spans="1:3" ht="45.6" customHeight="1" thickBot="1" x14ac:dyDescent="0.35">
      <c r="A21" s="26" t="s">
        <v>2</v>
      </c>
      <c r="B21" s="27" t="s">
        <v>169</v>
      </c>
      <c r="C21" s="27" t="s">
        <v>171</v>
      </c>
    </row>
    <row r="22" spans="1:3" ht="40.799999999999997" customHeight="1" thickBot="1" x14ac:dyDescent="0.35">
      <c r="A22" s="26" t="s">
        <v>3</v>
      </c>
      <c r="B22" s="27" t="s">
        <v>172</v>
      </c>
      <c r="C22" s="27" t="s">
        <v>173</v>
      </c>
    </row>
    <row r="23" spans="1:3" ht="15" thickBot="1" x14ac:dyDescent="0.35">
      <c r="A23" s="26" t="s">
        <v>5</v>
      </c>
      <c r="B23" s="27" t="s">
        <v>174</v>
      </c>
      <c r="C23" s="26" t="s">
        <v>175</v>
      </c>
    </row>
    <row r="24" spans="1:3" ht="15" thickBot="1" x14ac:dyDescent="0.35">
      <c r="A24" s="26" t="s">
        <v>6</v>
      </c>
      <c r="B24" s="27" t="s">
        <v>176</v>
      </c>
      <c r="C24" s="26" t="s">
        <v>177</v>
      </c>
    </row>
    <row r="25" spans="1:3" ht="15" thickBot="1" x14ac:dyDescent="0.35">
      <c r="A25" s="26" t="s">
        <v>8</v>
      </c>
      <c r="B25" s="27" t="s">
        <v>178</v>
      </c>
      <c r="C25" s="26" t="s">
        <v>179</v>
      </c>
    </row>
    <row r="26" spans="1:3" ht="15" thickBot="1" x14ac:dyDescent="0.35">
      <c r="A26" s="26" t="s">
        <v>9</v>
      </c>
      <c r="B26" s="27" t="s">
        <v>180</v>
      </c>
      <c r="C26" s="27" t="s">
        <v>181</v>
      </c>
    </row>
    <row r="27" spans="1:3" ht="15" thickBot="1" x14ac:dyDescent="0.35">
      <c r="A27" s="26" t="s">
        <v>7</v>
      </c>
      <c r="B27" s="27" t="s">
        <v>174</v>
      </c>
      <c r="C27" s="26" t="s">
        <v>182</v>
      </c>
    </row>
    <row r="28" spans="1:3" ht="15" thickBot="1" x14ac:dyDescent="0.35">
      <c r="A28" s="26" t="s">
        <v>183</v>
      </c>
      <c r="B28" s="27" t="s">
        <v>169</v>
      </c>
      <c r="C28" s="27" t="s">
        <v>184</v>
      </c>
    </row>
    <row r="29" spans="1:3" x14ac:dyDescent="0.3">
      <c r="A29" s="28"/>
      <c r="B29" s="29"/>
      <c r="C29" s="29"/>
    </row>
    <row r="30" spans="1:3" ht="17.399999999999999" x14ac:dyDescent="0.3">
      <c r="A30" s="22" t="s">
        <v>185</v>
      </c>
      <c r="B30" s="24"/>
      <c r="C30" s="24"/>
    </row>
    <row r="32" spans="1:3" x14ac:dyDescent="0.3">
      <c r="A32" s="21" t="s">
        <v>186</v>
      </c>
    </row>
    <row r="33" spans="1:1" x14ac:dyDescent="0.3">
      <c r="A33" s="18"/>
    </row>
    <row r="34" spans="1:1" ht="20.399999999999999" customHeight="1" x14ac:dyDescent="0.3">
      <c r="A34" s="19" t="s">
        <v>187</v>
      </c>
    </row>
    <row r="35" spans="1:1" ht="22.8" customHeight="1" x14ac:dyDescent="0.3">
      <c r="A35" s="19" t="s">
        <v>188</v>
      </c>
    </row>
    <row r="36" spans="1:1" ht="20.399999999999999" customHeight="1" x14ac:dyDescent="0.3">
      <c r="A36" s="19" t="s">
        <v>189</v>
      </c>
    </row>
    <row r="37" spans="1:1" ht="20.399999999999999" customHeight="1" x14ac:dyDescent="0.3">
      <c r="A37" s="19" t="s">
        <v>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0"/>
  <sheetViews>
    <sheetView zoomScale="37" workbookViewId="0">
      <selection activeCell="J44" sqref="J44"/>
    </sheetView>
  </sheetViews>
  <sheetFormatPr defaultRowHeight="14.4" x14ac:dyDescent="0.3"/>
  <cols>
    <col min="1" max="1" width="10.5546875" customWidth="1"/>
    <col min="2" max="2" width="24.21875" customWidth="1"/>
    <col min="3" max="3" width="16.109375" customWidth="1"/>
    <col min="4" max="4" width="16" customWidth="1"/>
    <col min="5" max="5" width="23.88671875" style="5" customWidth="1"/>
    <col min="6" max="6" width="17.6640625" style="7" customWidth="1"/>
    <col min="7" max="7" width="19.44140625" customWidth="1"/>
    <col min="8" max="8" width="19.44140625" style="7" customWidth="1"/>
    <col min="9" max="9" width="17.44140625" style="3" customWidth="1"/>
    <col min="10" max="10" width="20.44140625" customWidth="1"/>
    <col min="11" max="11" width="18.21875" customWidth="1"/>
    <col min="12" max="12" width="15" customWidth="1"/>
    <col min="13" max="13" width="21" style="9" customWidth="1"/>
    <col min="14" max="14" width="20.77734375" style="9" customWidth="1"/>
  </cols>
  <sheetData>
    <row r="1" spans="1:14" x14ac:dyDescent="0.3">
      <c r="A1" s="1" t="s">
        <v>0</v>
      </c>
      <c r="B1" s="1" t="s">
        <v>1</v>
      </c>
      <c r="C1" s="1" t="s">
        <v>2</v>
      </c>
      <c r="D1" s="1" t="s">
        <v>3</v>
      </c>
      <c r="E1" s="4" t="s">
        <v>4</v>
      </c>
      <c r="F1" s="6" t="s">
        <v>5</v>
      </c>
      <c r="G1" s="1" t="s">
        <v>6</v>
      </c>
      <c r="H1" s="6" t="s">
        <v>7</v>
      </c>
      <c r="I1" s="2" t="s">
        <v>8</v>
      </c>
      <c r="J1" s="1" t="s">
        <v>9</v>
      </c>
      <c r="K1" s="8" t="s">
        <v>135</v>
      </c>
    </row>
    <row r="2" spans="1:14" x14ac:dyDescent="0.3">
      <c r="A2" t="s">
        <v>10</v>
      </c>
      <c r="B2" t="s">
        <v>11</v>
      </c>
      <c r="C2" t="s">
        <v>12</v>
      </c>
      <c r="D2">
        <v>22.7</v>
      </c>
      <c r="E2" s="5">
        <v>6209</v>
      </c>
      <c r="F2" s="7">
        <v>95.5</v>
      </c>
      <c r="G2">
        <v>21.4</v>
      </c>
      <c r="H2" s="7">
        <v>58</v>
      </c>
      <c r="I2" s="3">
        <v>0.13700000000000001</v>
      </c>
      <c r="J2">
        <v>1</v>
      </c>
      <c r="K2" t="str">
        <f>IF(H2&gt;0, "Approved for FID", "Reject / Redesign")</f>
        <v>Approved for FID</v>
      </c>
      <c r="M2" s="31" t="s">
        <v>54</v>
      </c>
      <c r="N2" s="37">
        <f>VLOOKUP(M2, A2:K61, 8, FALSE)</f>
        <v>156.9</v>
      </c>
    </row>
    <row r="3" spans="1:14" x14ac:dyDescent="0.3">
      <c r="A3" t="s">
        <v>13</v>
      </c>
      <c r="B3" t="s">
        <v>14</v>
      </c>
      <c r="C3" t="s">
        <v>12</v>
      </c>
      <c r="D3">
        <v>56.7</v>
      </c>
      <c r="E3" s="5">
        <v>12525</v>
      </c>
      <c r="F3" s="7">
        <v>273.60000000000002</v>
      </c>
      <c r="G3">
        <v>27</v>
      </c>
      <c r="H3" s="7">
        <v>170.7</v>
      </c>
      <c r="I3" s="3">
        <v>0.20100000000000001</v>
      </c>
      <c r="J3">
        <v>1.5</v>
      </c>
      <c r="K3" t="str">
        <f t="shared" ref="K3:K61" si="0">IF(H3&gt;0, "Approved for FID", "Reject / Redesign")</f>
        <v>Approved for FID</v>
      </c>
      <c r="L3" s="39" t="s">
        <v>195</v>
      </c>
      <c r="M3" s="38" t="str">
        <f>INDEX(B2:B61, MATCH(M2, A2:A61, 0))</f>
        <v>Mahakam-31 (Offshore)</v>
      </c>
    </row>
    <row r="4" spans="1:14" x14ac:dyDescent="0.3">
      <c r="A4" t="s">
        <v>15</v>
      </c>
      <c r="B4" t="s">
        <v>16</v>
      </c>
      <c r="C4" t="s">
        <v>12</v>
      </c>
      <c r="D4">
        <v>136.5</v>
      </c>
      <c r="E4" s="5">
        <v>34691</v>
      </c>
      <c r="F4" s="7">
        <v>672.9</v>
      </c>
      <c r="G4">
        <v>22</v>
      </c>
      <c r="H4" s="7">
        <v>366.4</v>
      </c>
      <c r="I4" s="3">
        <v>0.14699999999999999</v>
      </c>
      <c r="J4">
        <v>1</v>
      </c>
      <c r="K4" t="str">
        <f t="shared" si="0"/>
        <v>Approved for FID</v>
      </c>
      <c r="M4" s="38">
        <f>INDEX(H2:H61, MATCH(M2, A2:A61, 0))</f>
        <v>156.9</v>
      </c>
    </row>
    <row r="5" spans="1:14" x14ac:dyDescent="0.3">
      <c r="A5" t="s">
        <v>17</v>
      </c>
      <c r="B5" t="s">
        <v>18</v>
      </c>
      <c r="C5" t="s">
        <v>12</v>
      </c>
      <c r="D5">
        <v>44.5</v>
      </c>
      <c r="E5" s="5">
        <v>11996</v>
      </c>
      <c r="F5" s="7">
        <v>192.6</v>
      </c>
      <c r="G5">
        <v>24.9</v>
      </c>
      <c r="H5" s="7">
        <v>80.2</v>
      </c>
      <c r="I5" s="3">
        <v>0.16900000000000001</v>
      </c>
      <c r="J5">
        <v>0.7</v>
      </c>
      <c r="K5" t="str">
        <f t="shared" si="0"/>
        <v>Approved for FID</v>
      </c>
    </row>
    <row r="6" spans="1:14" x14ac:dyDescent="0.3">
      <c r="A6" t="s">
        <v>19</v>
      </c>
      <c r="B6" t="s">
        <v>20</v>
      </c>
      <c r="C6" t="s">
        <v>12</v>
      </c>
      <c r="D6">
        <v>98.9</v>
      </c>
      <c r="E6" s="5">
        <v>22040</v>
      </c>
      <c r="F6" s="7">
        <v>491.6</v>
      </c>
      <c r="G6">
        <v>18.899999999999999</v>
      </c>
      <c r="H6" s="7">
        <v>259.8</v>
      </c>
      <c r="I6" s="3">
        <v>0.16400000000000001</v>
      </c>
      <c r="J6">
        <v>1.4</v>
      </c>
      <c r="K6" t="str">
        <f t="shared" si="0"/>
        <v>Approved for FID</v>
      </c>
      <c r="M6" s="32" t="s">
        <v>132</v>
      </c>
      <c r="N6" s="32" t="s">
        <v>194</v>
      </c>
    </row>
    <row r="7" spans="1:14" x14ac:dyDescent="0.3">
      <c r="A7" t="s">
        <v>21</v>
      </c>
      <c r="B7" t="s">
        <v>22</v>
      </c>
      <c r="C7" t="s">
        <v>12</v>
      </c>
      <c r="D7">
        <v>5.0999999999999996</v>
      </c>
      <c r="E7" s="5">
        <v>1109</v>
      </c>
      <c r="F7" s="7">
        <v>20.2</v>
      </c>
      <c r="G7">
        <v>20.3</v>
      </c>
      <c r="H7" s="7">
        <v>-6.1</v>
      </c>
      <c r="I7" s="3">
        <v>6.4000000000000001E-2</v>
      </c>
      <c r="J7">
        <v>8.6999999999999993</v>
      </c>
      <c r="K7" t="str">
        <f t="shared" si="0"/>
        <v>Reject / Redesign</v>
      </c>
      <c r="M7" s="32">
        <f>AVERAGEA(D2:D61)</f>
        <v>73.52000000000001</v>
      </c>
    </row>
    <row r="8" spans="1:14" x14ac:dyDescent="0.3">
      <c r="A8" t="s">
        <v>23</v>
      </c>
      <c r="B8" t="s">
        <v>24</v>
      </c>
      <c r="C8" t="s">
        <v>25</v>
      </c>
      <c r="D8">
        <v>56.1</v>
      </c>
      <c r="E8" s="5">
        <v>16730</v>
      </c>
      <c r="F8" s="7">
        <v>134.80000000000001</v>
      </c>
      <c r="G8">
        <v>13.9</v>
      </c>
      <c r="H8" s="7">
        <v>139.30000000000001</v>
      </c>
      <c r="I8" s="3">
        <v>0.21</v>
      </c>
      <c r="J8">
        <v>0.4</v>
      </c>
      <c r="K8" t="str">
        <f t="shared" si="0"/>
        <v>Approved for FID</v>
      </c>
    </row>
    <row r="9" spans="1:14" x14ac:dyDescent="0.3">
      <c r="A9" t="s">
        <v>26</v>
      </c>
      <c r="B9" t="s">
        <v>27</v>
      </c>
      <c r="C9" t="s">
        <v>25</v>
      </c>
      <c r="D9">
        <v>49.2</v>
      </c>
      <c r="E9" s="5">
        <v>12382</v>
      </c>
      <c r="F9" s="7">
        <v>125.9</v>
      </c>
      <c r="G9">
        <v>13.2</v>
      </c>
      <c r="H9" s="7">
        <v>168.3</v>
      </c>
      <c r="I9" s="3">
        <v>0.125</v>
      </c>
      <c r="J9">
        <v>0.6</v>
      </c>
      <c r="K9" t="str">
        <f t="shared" si="0"/>
        <v>Approved for FID</v>
      </c>
      <c r="M9" s="33" t="s">
        <v>133</v>
      </c>
      <c r="N9" s="34" t="s">
        <v>192</v>
      </c>
    </row>
    <row r="10" spans="1:14" x14ac:dyDescent="0.3">
      <c r="A10" t="s">
        <v>28</v>
      </c>
      <c r="B10" t="s">
        <v>29</v>
      </c>
      <c r="C10" t="s">
        <v>12</v>
      </c>
      <c r="D10">
        <v>28.9</v>
      </c>
      <c r="E10" s="5">
        <v>6534</v>
      </c>
      <c r="F10" s="7">
        <v>137.69999999999999</v>
      </c>
      <c r="G10">
        <v>29.2</v>
      </c>
      <c r="H10" s="7">
        <v>95.4</v>
      </c>
      <c r="I10" s="3">
        <v>0.191</v>
      </c>
      <c r="J10">
        <v>1.2</v>
      </c>
      <c r="K10" t="str">
        <f t="shared" si="0"/>
        <v>Approved for FID</v>
      </c>
      <c r="M10" s="33">
        <f>MAX(H2:H61)</f>
        <v>491</v>
      </c>
    </row>
    <row r="11" spans="1:14" x14ac:dyDescent="0.3">
      <c r="A11" t="s">
        <v>30</v>
      </c>
      <c r="B11" t="s">
        <v>31</v>
      </c>
      <c r="C11" t="s">
        <v>12</v>
      </c>
      <c r="D11">
        <v>82.4</v>
      </c>
      <c r="E11" s="5">
        <v>24689</v>
      </c>
      <c r="F11" s="7">
        <v>297.10000000000002</v>
      </c>
      <c r="G11">
        <v>20.5</v>
      </c>
      <c r="H11" s="7">
        <v>211.7</v>
      </c>
      <c r="I11" s="3">
        <v>0.19500000000000001</v>
      </c>
      <c r="J11">
        <v>0.8</v>
      </c>
      <c r="K11" t="str">
        <f t="shared" si="0"/>
        <v>Approved for FID</v>
      </c>
      <c r="M11" s="30"/>
    </row>
    <row r="12" spans="1:14" x14ac:dyDescent="0.3">
      <c r="A12" t="s">
        <v>32</v>
      </c>
      <c r="B12" t="s">
        <v>33</v>
      </c>
      <c r="C12" t="s">
        <v>25</v>
      </c>
      <c r="D12">
        <v>75.3</v>
      </c>
      <c r="E12" s="5">
        <v>22330</v>
      </c>
      <c r="F12" s="7">
        <v>226.4</v>
      </c>
      <c r="G12">
        <v>12.9</v>
      </c>
      <c r="H12" s="7">
        <v>126.9</v>
      </c>
      <c r="I12" s="3">
        <v>0.153</v>
      </c>
      <c r="J12">
        <v>0.6</v>
      </c>
      <c r="K12" t="str">
        <f t="shared" si="0"/>
        <v>Approved for FID</v>
      </c>
      <c r="M12" s="35" t="s">
        <v>134</v>
      </c>
      <c r="N12" s="36" t="s">
        <v>193</v>
      </c>
    </row>
    <row r="13" spans="1:14" x14ac:dyDescent="0.3">
      <c r="A13" t="s">
        <v>34</v>
      </c>
      <c r="B13" t="s">
        <v>35</v>
      </c>
      <c r="C13" t="s">
        <v>12</v>
      </c>
      <c r="D13">
        <v>105.4</v>
      </c>
      <c r="E13" s="5">
        <v>26964</v>
      </c>
      <c r="F13" s="7">
        <v>409.1</v>
      </c>
      <c r="G13">
        <v>21.5</v>
      </c>
      <c r="H13" s="7">
        <v>334.5</v>
      </c>
      <c r="I13" s="3">
        <v>0.193</v>
      </c>
      <c r="J13">
        <v>0.8</v>
      </c>
      <c r="K13" t="str">
        <f t="shared" si="0"/>
        <v>Approved for FID</v>
      </c>
      <c r="M13" s="35">
        <f>MIN(H2:H61)</f>
        <v>-13.6</v>
      </c>
    </row>
    <row r="14" spans="1:14" x14ac:dyDescent="0.3">
      <c r="A14" t="s">
        <v>36</v>
      </c>
      <c r="B14" t="s">
        <v>37</v>
      </c>
      <c r="C14" t="s">
        <v>25</v>
      </c>
      <c r="D14">
        <v>44.1</v>
      </c>
      <c r="E14" s="5">
        <v>12712</v>
      </c>
      <c r="F14" s="7">
        <v>109.5</v>
      </c>
      <c r="G14">
        <v>16.8</v>
      </c>
      <c r="H14" s="7">
        <v>-5.4</v>
      </c>
      <c r="I14" s="3">
        <v>0.06</v>
      </c>
      <c r="J14">
        <v>9.1999999999999993</v>
      </c>
      <c r="K14" t="str">
        <f>IF(H14&gt;0, "Approved for FID", "Reject / Redesign")</f>
        <v>Reject / Redesign</v>
      </c>
    </row>
    <row r="15" spans="1:14" x14ac:dyDescent="0.3">
      <c r="A15" t="s">
        <v>38</v>
      </c>
      <c r="B15" t="s">
        <v>39</v>
      </c>
      <c r="C15" t="s">
        <v>25</v>
      </c>
      <c r="D15">
        <v>40.4</v>
      </c>
      <c r="E15" s="5">
        <v>8842</v>
      </c>
      <c r="F15" s="7">
        <v>89.1</v>
      </c>
      <c r="G15">
        <v>15.7</v>
      </c>
      <c r="H15" s="7">
        <v>103.7</v>
      </c>
      <c r="I15" s="3">
        <v>0.185</v>
      </c>
      <c r="J15">
        <v>0.6</v>
      </c>
      <c r="K15" t="str">
        <f t="shared" si="0"/>
        <v>Approved for FID</v>
      </c>
    </row>
    <row r="16" spans="1:14" x14ac:dyDescent="0.3">
      <c r="A16" t="s">
        <v>40</v>
      </c>
      <c r="B16" t="s">
        <v>41</v>
      </c>
      <c r="C16" t="s">
        <v>25</v>
      </c>
      <c r="D16">
        <v>29.4</v>
      </c>
      <c r="E16" s="5">
        <v>6700</v>
      </c>
      <c r="F16" s="7">
        <v>83.2</v>
      </c>
      <c r="G16">
        <v>12.4</v>
      </c>
      <c r="H16" s="7">
        <v>60.3</v>
      </c>
      <c r="I16" s="3">
        <v>0.13300000000000001</v>
      </c>
      <c r="J16">
        <v>0.6</v>
      </c>
      <c r="K16" t="str">
        <f t="shared" si="0"/>
        <v>Approved for FID</v>
      </c>
    </row>
    <row r="17" spans="1:11" x14ac:dyDescent="0.3">
      <c r="A17" t="s">
        <v>42</v>
      </c>
      <c r="B17" t="s">
        <v>43</v>
      </c>
      <c r="C17" t="s">
        <v>12</v>
      </c>
      <c r="D17">
        <v>36.700000000000003</v>
      </c>
      <c r="E17" s="5">
        <v>9910</v>
      </c>
      <c r="F17" s="7">
        <v>151.6</v>
      </c>
      <c r="G17">
        <v>21.1</v>
      </c>
      <c r="H17" s="7">
        <v>123</v>
      </c>
      <c r="I17" s="3">
        <v>0.23</v>
      </c>
      <c r="J17">
        <v>0.8</v>
      </c>
      <c r="K17" t="str">
        <f t="shared" si="0"/>
        <v>Approved for FID</v>
      </c>
    </row>
    <row r="18" spans="1:11" x14ac:dyDescent="0.3">
      <c r="A18" t="s">
        <v>44</v>
      </c>
      <c r="B18" t="s">
        <v>45</v>
      </c>
      <c r="C18" t="s">
        <v>25</v>
      </c>
      <c r="D18">
        <v>85.9</v>
      </c>
      <c r="E18" s="5">
        <v>24453</v>
      </c>
      <c r="F18" s="7">
        <v>250.6</v>
      </c>
      <c r="G18">
        <v>10.7</v>
      </c>
      <c r="H18" s="7">
        <v>297.10000000000002</v>
      </c>
      <c r="I18" s="3">
        <v>0.20799999999999999</v>
      </c>
      <c r="J18">
        <v>0.6</v>
      </c>
      <c r="K18" t="str">
        <f t="shared" si="0"/>
        <v>Approved for FID</v>
      </c>
    </row>
    <row r="19" spans="1:11" x14ac:dyDescent="0.3">
      <c r="A19" t="s">
        <v>46</v>
      </c>
      <c r="B19" t="s">
        <v>47</v>
      </c>
      <c r="C19" t="s">
        <v>12</v>
      </c>
      <c r="D19">
        <v>63.6</v>
      </c>
      <c r="E19" s="5">
        <v>18166</v>
      </c>
      <c r="F19" s="7">
        <v>223.1</v>
      </c>
      <c r="G19">
        <v>25.5</v>
      </c>
      <c r="H19" s="7">
        <v>152.5</v>
      </c>
      <c r="I19" s="3">
        <v>0.13100000000000001</v>
      </c>
      <c r="J19">
        <v>0.6</v>
      </c>
      <c r="K19" t="str">
        <f t="shared" si="0"/>
        <v>Approved for FID</v>
      </c>
    </row>
    <row r="20" spans="1:11" x14ac:dyDescent="0.3">
      <c r="A20" t="s">
        <v>48</v>
      </c>
      <c r="B20" t="s">
        <v>49</v>
      </c>
      <c r="C20" t="s">
        <v>12</v>
      </c>
      <c r="D20">
        <v>14.4</v>
      </c>
      <c r="E20" s="5">
        <v>3462</v>
      </c>
      <c r="F20" s="7">
        <v>54.6</v>
      </c>
      <c r="G20">
        <v>18.899999999999999</v>
      </c>
      <c r="H20" s="7">
        <v>38</v>
      </c>
      <c r="I20" s="3">
        <v>0.192</v>
      </c>
      <c r="J20">
        <v>0.8</v>
      </c>
      <c r="K20" t="str">
        <f t="shared" si="0"/>
        <v>Approved for FID</v>
      </c>
    </row>
    <row r="21" spans="1:11" x14ac:dyDescent="0.3">
      <c r="A21" t="s">
        <v>50</v>
      </c>
      <c r="B21" t="s">
        <v>51</v>
      </c>
      <c r="C21" t="s">
        <v>12</v>
      </c>
      <c r="D21">
        <v>41.8</v>
      </c>
      <c r="E21" s="5">
        <v>12071</v>
      </c>
      <c r="F21" s="7">
        <v>171.2</v>
      </c>
      <c r="G21">
        <v>18.600000000000001</v>
      </c>
      <c r="H21" s="7">
        <v>139.6</v>
      </c>
      <c r="I21" s="3">
        <v>0.222</v>
      </c>
      <c r="J21">
        <v>0.7</v>
      </c>
      <c r="K21" t="str">
        <f t="shared" si="0"/>
        <v>Approved for FID</v>
      </c>
    </row>
    <row r="22" spans="1:11" x14ac:dyDescent="0.3">
      <c r="A22" t="s">
        <v>52</v>
      </c>
      <c r="B22" t="s">
        <v>53</v>
      </c>
      <c r="C22" t="s">
        <v>25</v>
      </c>
      <c r="D22">
        <v>40.799999999999997</v>
      </c>
      <c r="E22" s="5">
        <v>11632</v>
      </c>
      <c r="F22" s="7">
        <v>135.9</v>
      </c>
      <c r="G22">
        <v>10.199999999999999</v>
      </c>
      <c r="H22" s="7">
        <v>138.19999999999999</v>
      </c>
      <c r="I22" s="3">
        <v>0.247</v>
      </c>
      <c r="J22">
        <v>0.9</v>
      </c>
      <c r="K22" t="str">
        <f t="shared" si="0"/>
        <v>Approved for FID</v>
      </c>
    </row>
    <row r="23" spans="1:11" x14ac:dyDescent="0.3">
      <c r="A23" t="s">
        <v>54</v>
      </c>
      <c r="B23" t="s">
        <v>55</v>
      </c>
      <c r="C23" t="s">
        <v>12</v>
      </c>
      <c r="D23">
        <v>106</v>
      </c>
      <c r="E23" s="5">
        <v>31118</v>
      </c>
      <c r="F23" s="7">
        <v>463</v>
      </c>
      <c r="G23">
        <v>23.3</v>
      </c>
      <c r="H23" s="7">
        <v>156.9</v>
      </c>
      <c r="I23" s="3">
        <v>0.216</v>
      </c>
      <c r="J23">
        <v>0.9</v>
      </c>
      <c r="K23" t="str">
        <f t="shared" si="0"/>
        <v>Approved for FID</v>
      </c>
    </row>
    <row r="24" spans="1:11" x14ac:dyDescent="0.3">
      <c r="A24" t="s">
        <v>56</v>
      </c>
      <c r="B24" t="s">
        <v>57</v>
      </c>
      <c r="C24" t="s">
        <v>25</v>
      </c>
      <c r="D24">
        <v>108.3</v>
      </c>
      <c r="E24" s="5">
        <v>30165</v>
      </c>
      <c r="F24" s="7">
        <v>325.8</v>
      </c>
      <c r="G24">
        <v>12.6</v>
      </c>
      <c r="H24" s="7">
        <v>315.39999999999998</v>
      </c>
      <c r="I24" s="3">
        <v>0.246</v>
      </c>
      <c r="J24">
        <v>0.7</v>
      </c>
      <c r="K24" t="str">
        <f t="shared" si="0"/>
        <v>Approved for FID</v>
      </c>
    </row>
    <row r="25" spans="1:11" x14ac:dyDescent="0.3">
      <c r="A25" t="s">
        <v>58</v>
      </c>
      <c r="B25" t="s">
        <v>59</v>
      </c>
      <c r="C25" t="s">
        <v>25</v>
      </c>
      <c r="D25">
        <v>26.5</v>
      </c>
      <c r="E25" s="5">
        <v>7073</v>
      </c>
      <c r="F25" s="7">
        <v>59.2</v>
      </c>
      <c r="G25">
        <v>17.899999999999999</v>
      </c>
      <c r="H25" s="7">
        <v>84.8</v>
      </c>
      <c r="I25" s="3">
        <v>0.23300000000000001</v>
      </c>
      <c r="J25">
        <v>0.6</v>
      </c>
      <c r="K25" t="str">
        <f t="shared" si="0"/>
        <v>Approved for FID</v>
      </c>
    </row>
    <row r="26" spans="1:11" x14ac:dyDescent="0.3">
      <c r="A26" t="s">
        <v>60</v>
      </c>
      <c r="B26" t="s">
        <v>61</v>
      </c>
      <c r="C26" t="s">
        <v>12</v>
      </c>
      <c r="D26">
        <v>149.69999999999999</v>
      </c>
      <c r="E26" s="5">
        <v>38633</v>
      </c>
      <c r="F26" s="7">
        <v>712.3</v>
      </c>
      <c r="G26">
        <v>28.3</v>
      </c>
      <c r="H26" s="7">
        <v>-12.1</v>
      </c>
      <c r="I26" s="3">
        <v>6.6000000000000003E-2</v>
      </c>
      <c r="J26">
        <v>11.5</v>
      </c>
      <c r="K26" t="str">
        <f t="shared" si="0"/>
        <v>Reject / Redesign</v>
      </c>
    </row>
    <row r="27" spans="1:11" x14ac:dyDescent="0.3">
      <c r="A27" t="s">
        <v>62</v>
      </c>
      <c r="B27" t="s">
        <v>63</v>
      </c>
      <c r="C27" t="s">
        <v>12</v>
      </c>
      <c r="D27">
        <v>43.7</v>
      </c>
      <c r="E27" s="5">
        <v>10367</v>
      </c>
      <c r="F27" s="7">
        <v>169.4</v>
      </c>
      <c r="G27">
        <v>18.5</v>
      </c>
      <c r="H27" s="7">
        <v>73.900000000000006</v>
      </c>
      <c r="I27" s="3">
        <v>0.187</v>
      </c>
      <c r="J27">
        <v>0.8</v>
      </c>
      <c r="K27" t="str">
        <f t="shared" si="0"/>
        <v>Approved for FID</v>
      </c>
    </row>
    <row r="28" spans="1:11" x14ac:dyDescent="0.3">
      <c r="A28" t="s">
        <v>64</v>
      </c>
      <c r="B28" t="s">
        <v>65</v>
      </c>
      <c r="C28" t="s">
        <v>12</v>
      </c>
      <c r="D28">
        <v>146.6</v>
      </c>
      <c r="E28" s="5">
        <v>43102</v>
      </c>
      <c r="F28" s="7">
        <v>579.79999999999995</v>
      </c>
      <c r="G28">
        <v>24.4</v>
      </c>
      <c r="H28" s="7">
        <v>376.5</v>
      </c>
      <c r="I28" s="3">
        <v>0.23200000000000001</v>
      </c>
      <c r="J28">
        <v>0.9</v>
      </c>
      <c r="K28" t="str">
        <f t="shared" si="0"/>
        <v>Approved for FID</v>
      </c>
    </row>
    <row r="29" spans="1:11" x14ac:dyDescent="0.3">
      <c r="A29" t="s">
        <v>66</v>
      </c>
      <c r="B29" t="s">
        <v>67</v>
      </c>
      <c r="C29" t="s">
        <v>12</v>
      </c>
      <c r="D29">
        <v>64.599999999999994</v>
      </c>
      <c r="E29" s="5">
        <v>19210</v>
      </c>
      <c r="F29" s="7">
        <v>257.8</v>
      </c>
      <c r="G29">
        <v>27.9</v>
      </c>
      <c r="H29" s="7">
        <v>119.4</v>
      </c>
      <c r="I29" s="3">
        <v>0.23799999999999999</v>
      </c>
      <c r="J29">
        <v>0.8</v>
      </c>
      <c r="K29" t="str">
        <f t="shared" si="0"/>
        <v>Approved for FID</v>
      </c>
    </row>
    <row r="30" spans="1:11" x14ac:dyDescent="0.3">
      <c r="A30" t="s">
        <v>68</v>
      </c>
      <c r="B30" t="s">
        <v>69</v>
      </c>
      <c r="C30" t="s">
        <v>25</v>
      </c>
      <c r="D30">
        <v>9.8000000000000007</v>
      </c>
      <c r="E30" s="5">
        <v>2238</v>
      </c>
      <c r="F30" s="7">
        <v>23.6</v>
      </c>
      <c r="G30">
        <v>17.7</v>
      </c>
      <c r="H30" s="7">
        <v>21.2</v>
      </c>
      <c r="I30" s="3">
        <v>0.21199999999999999</v>
      </c>
      <c r="J30">
        <v>0.6</v>
      </c>
      <c r="K30" t="str">
        <f t="shared" si="0"/>
        <v>Approved for FID</v>
      </c>
    </row>
    <row r="31" spans="1:11" x14ac:dyDescent="0.3">
      <c r="A31" t="s">
        <v>70</v>
      </c>
      <c r="B31" t="s">
        <v>71</v>
      </c>
      <c r="C31" t="s">
        <v>12</v>
      </c>
      <c r="D31">
        <v>55</v>
      </c>
      <c r="E31" s="5">
        <v>12680</v>
      </c>
      <c r="F31" s="7">
        <v>230.2</v>
      </c>
      <c r="G31">
        <v>28.1</v>
      </c>
      <c r="H31" s="7">
        <v>117.2</v>
      </c>
      <c r="I31" s="3">
        <v>0.21199999999999999</v>
      </c>
      <c r="J31">
        <v>0.9</v>
      </c>
      <c r="K31" t="str">
        <f t="shared" si="0"/>
        <v>Approved for FID</v>
      </c>
    </row>
    <row r="32" spans="1:11" x14ac:dyDescent="0.3">
      <c r="A32" t="s">
        <v>72</v>
      </c>
      <c r="B32" t="s">
        <v>73</v>
      </c>
      <c r="C32" t="s">
        <v>12</v>
      </c>
      <c r="D32">
        <v>97</v>
      </c>
      <c r="E32" s="5">
        <v>24110</v>
      </c>
      <c r="F32" s="7">
        <v>367.8</v>
      </c>
      <c r="G32">
        <v>22.9</v>
      </c>
      <c r="H32" s="7">
        <v>199.9</v>
      </c>
      <c r="I32" s="3">
        <v>0.17599999999999999</v>
      </c>
      <c r="J32">
        <v>0.8</v>
      </c>
      <c r="K32" t="str">
        <f t="shared" si="0"/>
        <v>Approved for FID</v>
      </c>
    </row>
    <row r="33" spans="1:11" x14ac:dyDescent="0.3">
      <c r="A33" t="s">
        <v>74</v>
      </c>
      <c r="B33" t="s">
        <v>75</v>
      </c>
      <c r="C33" t="s">
        <v>12</v>
      </c>
      <c r="D33">
        <v>103.7</v>
      </c>
      <c r="E33" s="5">
        <v>25390</v>
      </c>
      <c r="F33" s="7">
        <v>471.8</v>
      </c>
      <c r="G33">
        <v>19.7</v>
      </c>
      <c r="H33" s="7">
        <v>228.4</v>
      </c>
      <c r="I33" s="3">
        <v>0.19400000000000001</v>
      </c>
      <c r="J33">
        <v>1.2</v>
      </c>
      <c r="K33" t="str">
        <f t="shared" si="0"/>
        <v>Approved for FID</v>
      </c>
    </row>
    <row r="34" spans="1:11" x14ac:dyDescent="0.3">
      <c r="A34" t="s">
        <v>76</v>
      </c>
      <c r="B34" t="s">
        <v>77</v>
      </c>
      <c r="C34" t="s">
        <v>12</v>
      </c>
      <c r="D34">
        <v>82</v>
      </c>
      <c r="E34" s="5">
        <v>24555</v>
      </c>
      <c r="F34" s="7">
        <v>303.3</v>
      </c>
      <c r="G34">
        <v>29.6</v>
      </c>
      <c r="H34" s="7">
        <v>241.1</v>
      </c>
      <c r="I34" s="3">
        <v>0.22700000000000001</v>
      </c>
      <c r="J34">
        <v>0.8</v>
      </c>
      <c r="K34" t="str">
        <f t="shared" si="0"/>
        <v>Approved for FID</v>
      </c>
    </row>
    <row r="35" spans="1:11" x14ac:dyDescent="0.3">
      <c r="A35" t="s">
        <v>78</v>
      </c>
      <c r="B35" t="s">
        <v>79</v>
      </c>
      <c r="C35" t="s">
        <v>25</v>
      </c>
      <c r="D35">
        <v>69.900000000000006</v>
      </c>
      <c r="E35" s="5">
        <v>15210</v>
      </c>
      <c r="F35" s="7">
        <v>214.7</v>
      </c>
      <c r="G35">
        <v>10.3</v>
      </c>
      <c r="H35" s="7">
        <v>200.4</v>
      </c>
      <c r="I35" s="3">
        <v>0.151</v>
      </c>
      <c r="J35">
        <v>0.8</v>
      </c>
      <c r="K35" t="str">
        <f t="shared" si="0"/>
        <v>Approved for FID</v>
      </c>
    </row>
    <row r="36" spans="1:11" x14ac:dyDescent="0.3">
      <c r="A36" t="s">
        <v>80</v>
      </c>
      <c r="B36" t="s">
        <v>81</v>
      </c>
      <c r="C36" t="s">
        <v>25</v>
      </c>
      <c r="D36">
        <v>85.2</v>
      </c>
      <c r="E36" s="5">
        <v>17194</v>
      </c>
      <c r="F36" s="7">
        <v>221.4</v>
      </c>
      <c r="G36">
        <v>13.5</v>
      </c>
      <c r="H36" s="7">
        <v>207.8</v>
      </c>
      <c r="I36" s="3">
        <v>0.13100000000000001</v>
      </c>
      <c r="J36">
        <v>0.8</v>
      </c>
      <c r="K36" t="str">
        <f t="shared" si="0"/>
        <v>Approved for FID</v>
      </c>
    </row>
    <row r="37" spans="1:11" x14ac:dyDescent="0.3">
      <c r="A37" t="s">
        <v>82</v>
      </c>
      <c r="B37" t="s">
        <v>83</v>
      </c>
      <c r="C37" t="s">
        <v>25</v>
      </c>
      <c r="D37">
        <v>90.9</v>
      </c>
      <c r="E37" s="5">
        <v>22669</v>
      </c>
      <c r="F37" s="7">
        <v>283.3</v>
      </c>
      <c r="G37">
        <v>12</v>
      </c>
      <c r="H37" s="7">
        <v>212.6</v>
      </c>
      <c r="I37" s="3">
        <v>0.224</v>
      </c>
      <c r="J37">
        <v>0.9</v>
      </c>
      <c r="K37" t="str">
        <f t="shared" si="0"/>
        <v>Approved for FID</v>
      </c>
    </row>
    <row r="38" spans="1:11" x14ac:dyDescent="0.3">
      <c r="A38" t="s">
        <v>84</v>
      </c>
      <c r="B38" t="s">
        <v>85</v>
      </c>
      <c r="C38" t="s">
        <v>12</v>
      </c>
      <c r="D38">
        <v>16.7</v>
      </c>
      <c r="E38" s="5">
        <v>3639</v>
      </c>
      <c r="F38" s="7">
        <v>63.1</v>
      </c>
      <c r="G38">
        <v>19</v>
      </c>
      <c r="H38" s="7">
        <v>42.5</v>
      </c>
      <c r="I38" s="3">
        <v>0.16200000000000001</v>
      </c>
      <c r="J38">
        <v>0.8</v>
      </c>
      <c r="K38" t="str">
        <f t="shared" si="0"/>
        <v>Approved for FID</v>
      </c>
    </row>
    <row r="39" spans="1:11" x14ac:dyDescent="0.3">
      <c r="A39" t="s">
        <v>86</v>
      </c>
      <c r="B39" t="s">
        <v>87</v>
      </c>
      <c r="C39" t="s">
        <v>12</v>
      </c>
      <c r="D39">
        <v>58.6</v>
      </c>
      <c r="E39" s="5">
        <v>13868</v>
      </c>
      <c r="F39" s="7">
        <v>242.7</v>
      </c>
      <c r="G39">
        <v>26.3</v>
      </c>
      <c r="H39" s="7">
        <v>190.9</v>
      </c>
      <c r="I39" s="3">
        <v>0.23899999999999999</v>
      </c>
      <c r="J39">
        <v>0.9</v>
      </c>
      <c r="K39" t="str">
        <f t="shared" si="0"/>
        <v>Approved for FID</v>
      </c>
    </row>
    <row r="40" spans="1:11" x14ac:dyDescent="0.3">
      <c r="A40" t="s">
        <v>88</v>
      </c>
      <c r="B40" t="s">
        <v>89</v>
      </c>
      <c r="C40" t="s">
        <v>12</v>
      </c>
      <c r="D40">
        <v>40.1</v>
      </c>
      <c r="E40" s="5">
        <v>11004</v>
      </c>
      <c r="F40" s="7">
        <v>143.9</v>
      </c>
      <c r="G40">
        <v>29</v>
      </c>
      <c r="H40" s="7">
        <v>112.3</v>
      </c>
      <c r="I40" s="3">
        <v>0.13</v>
      </c>
      <c r="J40">
        <v>0.6</v>
      </c>
      <c r="K40" t="str">
        <f t="shared" si="0"/>
        <v>Approved for FID</v>
      </c>
    </row>
    <row r="41" spans="1:11" x14ac:dyDescent="0.3">
      <c r="A41" t="s">
        <v>90</v>
      </c>
      <c r="B41" t="s">
        <v>91</v>
      </c>
      <c r="C41" t="s">
        <v>12</v>
      </c>
      <c r="D41">
        <v>121.5</v>
      </c>
      <c r="E41" s="5">
        <v>33059</v>
      </c>
      <c r="F41" s="7">
        <v>505.9</v>
      </c>
      <c r="G41">
        <v>20.9</v>
      </c>
      <c r="H41" s="7">
        <v>221.4</v>
      </c>
      <c r="I41" s="3">
        <v>0.158</v>
      </c>
      <c r="J41">
        <v>1.1000000000000001</v>
      </c>
      <c r="K41" t="str">
        <f t="shared" si="0"/>
        <v>Approved for FID</v>
      </c>
    </row>
    <row r="42" spans="1:11" x14ac:dyDescent="0.3">
      <c r="A42" t="s">
        <v>92</v>
      </c>
      <c r="B42" t="s">
        <v>93</v>
      </c>
      <c r="C42" t="s">
        <v>12</v>
      </c>
      <c r="D42">
        <v>73.2</v>
      </c>
      <c r="E42" s="5">
        <v>16895</v>
      </c>
      <c r="F42" s="7">
        <v>266.5</v>
      </c>
      <c r="G42">
        <v>20.2</v>
      </c>
      <c r="H42" s="7">
        <v>207.6</v>
      </c>
      <c r="I42" s="3">
        <v>0.17</v>
      </c>
      <c r="J42">
        <v>1</v>
      </c>
      <c r="K42" t="str">
        <f t="shared" si="0"/>
        <v>Approved for FID</v>
      </c>
    </row>
    <row r="43" spans="1:11" x14ac:dyDescent="0.3">
      <c r="A43" t="s">
        <v>94</v>
      </c>
      <c r="B43" t="s">
        <v>95</v>
      </c>
      <c r="C43" t="s">
        <v>25</v>
      </c>
      <c r="D43">
        <v>147.6</v>
      </c>
      <c r="E43" s="5">
        <v>37528</v>
      </c>
      <c r="F43" s="7">
        <v>502.1</v>
      </c>
      <c r="G43">
        <v>15.1</v>
      </c>
      <c r="H43" s="7">
        <v>491</v>
      </c>
      <c r="I43" s="3">
        <v>0.245</v>
      </c>
      <c r="J43">
        <v>0.6</v>
      </c>
      <c r="K43" t="str">
        <f t="shared" si="0"/>
        <v>Approved for FID</v>
      </c>
    </row>
    <row r="44" spans="1:11" x14ac:dyDescent="0.3">
      <c r="A44" t="s">
        <v>96</v>
      </c>
      <c r="B44" t="s">
        <v>97</v>
      </c>
      <c r="C44" t="s">
        <v>12</v>
      </c>
      <c r="D44">
        <v>62.8</v>
      </c>
      <c r="E44" s="5">
        <v>15755</v>
      </c>
      <c r="F44" s="7">
        <v>268.5</v>
      </c>
      <c r="G44">
        <v>25.9</v>
      </c>
      <c r="H44" s="7">
        <v>-13.6</v>
      </c>
      <c r="I44" s="3">
        <v>6.3E-2</v>
      </c>
      <c r="J44">
        <v>8.3000000000000007</v>
      </c>
      <c r="K44" t="str">
        <f t="shared" si="0"/>
        <v>Reject / Redesign</v>
      </c>
    </row>
    <row r="45" spans="1:11" x14ac:dyDescent="0.3">
      <c r="A45" t="s">
        <v>98</v>
      </c>
      <c r="B45" t="s">
        <v>99</v>
      </c>
      <c r="C45" t="s">
        <v>25</v>
      </c>
      <c r="D45">
        <v>123.4</v>
      </c>
      <c r="E45" s="5">
        <v>32532</v>
      </c>
      <c r="F45" s="7">
        <v>327.39999999999998</v>
      </c>
      <c r="G45">
        <v>15.8</v>
      </c>
      <c r="H45" s="7">
        <v>344.1</v>
      </c>
      <c r="I45" s="3">
        <v>0.17</v>
      </c>
      <c r="J45">
        <v>0.5</v>
      </c>
      <c r="K45" t="str">
        <f t="shared" si="0"/>
        <v>Approved for FID</v>
      </c>
    </row>
    <row r="46" spans="1:11" x14ac:dyDescent="0.3">
      <c r="A46" t="s">
        <v>100</v>
      </c>
      <c r="B46" t="s">
        <v>101</v>
      </c>
      <c r="C46" t="s">
        <v>25</v>
      </c>
      <c r="D46">
        <v>120.8</v>
      </c>
      <c r="E46" s="5">
        <v>27186</v>
      </c>
      <c r="F46" s="7">
        <v>250.2</v>
      </c>
      <c r="G46">
        <v>14.5</v>
      </c>
      <c r="H46" s="7">
        <v>241.6</v>
      </c>
      <c r="I46" s="3">
        <v>0.16700000000000001</v>
      </c>
      <c r="J46">
        <v>0.5</v>
      </c>
      <c r="K46" t="str">
        <f t="shared" si="0"/>
        <v>Approved for FID</v>
      </c>
    </row>
    <row r="47" spans="1:11" x14ac:dyDescent="0.3">
      <c r="A47" t="s">
        <v>102</v>
      </c>
      <c r="B47" t="s">
        <v>103</v>
      </c>
      <c r="C47" t="s">
        <v>12</v>
      </c>
      <c r="D47">
        <v>26.9</v>
      </c>
      <c r="E47" s="5">
        <v>6967</v>
      </c>
      <c r="F47" s="7">
        <v>100.6</v>
      </c>
      <c r="G47">
        <v>19.399999999999999</v>
      </c>
      <c r="H47" s="7">
        <v>62.6</v>
      </c>
      <c r="I47" s="3">
        <v>0.124</v>
      </c>
      <c r="J47">
        <v>0.8</v>
      </c>
      <c r="K47" t="str">
        <f t="shared" si="0"/>
        <v>Approved for FID</v>
      </c>
    </row>
    <row r="48" spans="1:11" x14ac:dyDescent="0.3">
      <c r="A48" t="s">
        <v>104</v>
      </c>
      <c r="B48" t="s">
        <v>105</v>
      </c>
      <c r="C48" t="s">
        <v>12</v>
      </c>
      <c r="D48">
        <v>78.7</v>
      </c>
      <c r="E48" s="5">
        <v>23444</v>
      </c>
      <c r="F48" s="7">
        <v>315.8</v>
      </c>
      <c r="G48">
        <v>19.100000000000001</v>
      </c>
      <c r="H48" s="7">
        <v>175.8</v>
      </c>
      <c r="I48" s="3">
        <v>0.19800000000000001</v>
      </c>
      <c r="J48">
        <v>0.7</v>
      </c>
      <c r="K48" t="str">
        <f t="shared" si="0"/>
        <v>Approved for FID</v>
      </c>
    </row>
    <row r="49" spans="1:11" x14ac:dyDescent="0.3">
      <c r="A49" t="s">
        <v>106</v>
      </c>
      <c r="B49" t="s">
        <v>107</v>
      </c>
      <c r="C49" t="s">
        <v>12</v>
      </c>
      <c r="D49">
        <v>105.9</v>
      </c>
      <c r="E49" s="5">
        <v>26335</v>
      </c>
      <c r="F49" s="7">
        <v>385.6</v>
      </c>
      <c r="G49">
        <v>21.7</v>
      </c>
      <c r="H49" s="7">
        <v>175.8</v>
      </c>
      <c r="I49" s="3">
        <v>0.13</v>
      </c>
      <c r="J49">
        <v>1</v>
      </c>
      <c r="K49" t="str">
        <f t="shared" si="0"/>
        <v>Approved for FID</v>
      </c>
    </row>
    <row r="50" spans="1:11" x14ac:dyDescent="0.3">
      <c r="A50" t="s">
        <v>108</v>
      </c>
      <c r="B50" t="s">
        <v>109</v>
      </c>
      <c r="C50" t="s">
        <v>25</v>
      </c>
      <c r="D50">
        <v>129.5</v>
      </c>
      <c r="E50" s="5">
        <v>37634</v>
      </c>
      <c r="F50" s="7">
        <v>449.3</v>
      </c>
      <c r="G50">
        <v>11.4</v>
      </c>
      <c r="H50" s="7">
        <v>296.2</v>
      </c>
      <c r="I50" s="3">
        <v>0.19600000000000001</v>
      </c>
      <c r="J50">
        <v>0.8</v>
      </c>
      <c r="K50" t="str">
        <f t="shared" si="0"/>
        <v>Approved for FID</v>
      </c>
    </row>
    <row r="51" spans="1:11" x14ac:dyDescent="0.3">
      <c r="A51" t="s">
        <v>110</v>
      </c>
      <c r="B51" t="s">
        <v>111</v>
      </c>
      <c r="C51" t="s">
        <v>25</v>
      </c>
      <c r="D51">
        <v>52.3</v>
      </c>
      <c r="E51" s="5">
        <v>12732</v>
      </c>
      <c r="F51" s="7">
        <v>105.9</v>
      </c>
      <c r="G51">
        <v>16.100000000000001</v>
      </c>
      <c r="H51" s="7">
        <v>83.9</v>
      </c>
      <c r="I51" s="3">
        <v>0.23400000000000001</v>
      </c>
      <c r="J51">
        <v>0.5</v>
      </c>
      <c r="K51" t="str">
        <f t="shared" si="0"/>
        <v>Approved for FID</v>
      </c>
    </row>
    <row r="52" spans="1:11" x14ac:dyDescent="0.3">
      <c r="A52" t="s">
        <v>112</v>
      </c>
      <c r="B52" t="s">
        <v>113</v>
      </c>
      <c r="C52" t="s">
        <v>25</v>
      </c>
      <c r="D52">
        <v>36.9</v>
      </c>
      <c r="E52" s="5">
        <v>8672</v>
      </c>
      <c r="F52" s="7">
        <v>118.5</v>
      </c>
      <c r="G52">
        <v>12.8</v>
      </c>
      <c r="H52" s="7">
        <v>64.900000000000006</v>
      </c>
      <c r="I52" s="3">
        <v>0.17299999999999999</v>
      </c>
      <c r="J52">
        <v>0.9</v>
      </c>
      <c r="K52" t="str">
        <f t="shared" si="0"/>
        <v>Approved for FID</v>
      </c>
    </row>
    <row r="53" spans="1:11" x14ac:dyDescent="0.3">
      <c r="A53" t="s">
        <v>114</v>
      </c>
      <c r="B53" t="s">
        <v>115</v>
      </c>
      <c r="C53" t="s">
        <v>12</v>
      </c>
      <c r="D53">
        <v>108.1</v>
      </c>
      <c r="E53" s="5">
        <v>28594</v>
      </c>
      <c r="F53" s="7">
        <v>453.7</v>
      </c>
      <c r="G53">
        <v>25.8</v>
      </c>
      <c r="H53" s="7">
        <v>-2.2000000000000002</v>
      </c>
      <c r="I53" s="3">
        <v>6.5000000000000002E-2</v>
      </c>
      <c r="J53">
        <v>10.9</v>
      </c>
      <c r="K53" t="str">
        <f t="shared" si="0"/>
        <v>Reject / Redesign</v>
      </c>
    </row>
    <row r="54" spans="1:11" x14ac:dyDescent="0.3">
      <c r="A54" t="s">
        <v>116</v>
      </c>
      <c r="B54" t="s">
        <v>117</v>
      </c>
      <c r="C54" t="s">
        <v>12</v>
      </c>
      <c r="D54">
        <v>122.4</v>
      </c>
      <c r="E54" s="5">
        <v>32668</v>
      </c>
      <c r="F54" s="7">
        <v>437.2</v>
      </c>
      <c r="G54">
        <v>29.4</v>
      </c>
      <c r="H54" s="7">
        <v>266.5</v>
      </c>
      <c r="I54" s="3">
        <v>0.22800000000000001</v>
      </c>
      <c r="J54">
        <v>0.8</v>
      </c>
      <c r="K54" t="str">
        <f t="shared" si="0"/>
        <v>Approved for FID</v>
      </c>
    </row>
    <row r="55" spans="1:11" x14ac:dyDescent="0.3">
      <c r="A55" t="s">
        <v>118</v>
      </c>
      <c r="B55" t="s">
        <v>119</v>
      </c>
      <c r="C55" t="s">
        <v>12</v>
      </c>
      <c r="D55">
        <v>55.6</v>
      </c>
      <c r="E55" s="5">
        <v>15925</v>
      </c>
      <c r="F55" s="7">
        <v>268.5</v>
      </c>
      <c r="G55">
        <v>21.1</v>
      </c>
      <c r="H55" s="7">
        <v>82.9</v>
      </c>
      <c r="I55" s="3">
        <v>0.125</v>
      </c>
      <c r="J55">
        <v>0.8</v>
      </c>
      <c r="K55" t="str">
        <f t="shared" si="0"/>
        <v>Approved for FID</v>
      </c>
    </row>
    <row r="56" spans="1:11" x14ac:dyDescent="0.3">
      <c r="A56" t="s">
        <v>120</v>
      </c>
      <c r="B56" t="s">
        <v>121</v>
      </c>
      <c r="C56" t="s">
        <v>25</v>
      </c>
      <c r="D56">
        <v>18.899999999999999</v>
      </c>
      <c r="E56" s="5">
        <v>4215</v>
      </c>
      <c r="F56" s="7">
        <v>38.200000000000003</v>
      </c>
      <c r="G56">
        <v>17.5</v>
      </c>
      <c r="H56" s="7">
        <v>27.5</v>
      </c>
      <c r="I56" s="3">
        <v>0.13</v>
      </c>
      <c r="J56">
        <v>0.6</v>
      </c>
      <c r="K56" t="str">
        <f t="shared" si="0"/>
        <v>Approved for FID</v>
      </c>
    </row>
    <row r="57" spans="1:11" x14ac:dyDescent="0.3">
      <c r="A57" t="s">
        <v>122</v>
      </c>
      <c r="B57" t="s">
        <v>123</v>
      </c>
      <c r="C57" t="s">
        <v>12</v>
      </c>
      <c r="D57">
        <v>141.4</v>
      </c>
      <c r="E57" s="5">
        <v>35339</v>
      </c>
      <c r="F57" s="7">
        <v>601.20000000000005</v>
      </c>
      <c r="G57">
        <v>24.5</v>
      </c>
      <c r="H57" s="7">
        <v>348</v>
      </c>
      <c r="I57" s="3">
        <v>0.217</v>
      </c>
      <c r="J57">
        <v>1.2</v>
      </c>
      <c r="K57" t="str">
        <f t="shared" si="0"/>
        <v>Approved for FID</v>
      </c>
    </row>
    <row r="58" spans="1:11" x14ac:dyDescent="0.3">
      <c r="A58" t="s">
        <v>124</v>
      </c>
      <c r="B58" t="s">
        <v>125</v>
      </c>
      <c r="C58" t="s">
        <v>12</v>
      </c>
      <c r="D58">
        <v>62.6</v>
      </c>
      <c r="E58" s="5">
        <v>16101</v>
      </c>
      <c r="F58" s="7">
        <v>283.3</v>
      </c>
      <c r="G58">
        <v>25.4</v>
      </c>
      <c r="H58" s="7">
        <v>159.69999999999999</v>
      </c>
      <c r="I58" s="3">
        <v>0.214</v>
      </c>
      <c r="J58">
        <v>1.2</v>
      </c>
      <c r="K58" t="str">
        <f t="shared" si="0"/>
        <v>Approved for FID</v>
      </c>
    </row>
    <row r="59" spans="1:11" x14ac:dyDescent="0.3">
      <c r="A59" t="s">
        <v>126</v>
      </c>
      <c r="B59" t="s">
        <v>127</v>
      </c>
      <c r="C59" t="s">
        <v>12</v>
      </c>
      <c r="D59">
        <v>80.099999999999994</v>
      </c>
      <c r="E59" s="5">
        <v>22176</v>
      </c>
      <c r="F59" s="7">
        <v>393.8</v>
      </c>
      <c r="G59">
        <v>29.3</v>
      </c>
      <c r="H59" s="7">
        <v>168.6</v>
      </c>
      <c r="I59" s="3">
        <v>0.151</v>
      </c>
      <c r="J59">
        <v>0.9</v>
      </c>
      <c r="K59" t="str">
        <f t="shared" si="0"/>
        <v>Approved for FID</v>
      </c>
    </row>
    <row r="60" spans="1:11" x14ac:dyDescent="0.3">
      <c r="A60" t="s">
        <v>128</v>
      </c>
      <c r="B60" t="s">
        <v>129</v>
      </c>
      <c r="C60" t="s">
        <v>25</v>
      </c>
      <c r="D60">
        <v>126.5</v>
      </c>
      <c r="E60" s="5">
        <v>25852</v>
      </c>
      <c r="F60" s="7">
        <v>417.6</v>
      </c>
      <c r="G60">
        <v>15.1</v>
      </c>
      <c r="H60" s="7">
        <v>244.6</v>
      </c>
      <c r="I60" s="3">
        <v>0.156</v>
      </c>
      <c r="J60">
        <v>0.8</v>
      </c>
      <c r="K60" t="str">
        <f t="shared" si="0"/>
        <v>Approved for FID</v>
      </c>
    </row>
    <row r="61" spans="1:11" x14ac:dyDescent="0.3">
      <c r="A61" t="s">
        <v>130</v>
      </c>
      <c r="B61" t="s">
        <v>131</v>
      </c>
      <c r="C61" t="s">
        <v>25</v>
      </c>
      <c r="D61">
        <v>103</v>
      </c>
      <c r="E61" s="5">
        <v>30844</v>
      </c>
      <c r="F61" s="7">
        <v>329.7</v>
      </c>
      <c r="G61">
        <v>15.4</v>
      </c>
      <c r="H61" s="7">
        <v>335.4</v>
      </c>
      <c r="I61" s="3">
        <v>0.218</v>
      </c>
      <c r="J61">
        <v>0.5</v>
      </c>
      <c r="K61" t="str">
        <f t="shared" si="0"/>
        <v>Approved for FID</v>
      </c>
    </row>
    <row r="62" spans="1:11" x14ac:dyDescent="0.3">
      <c r="K62" s="40"/>
    </row>
    <row r="63" spans="1:11" x14ac:dyDescent="0.3">
      <c r="K63" s="40"/>
    </row>
    <row r="64" spans="1:11" x14ac:dyDescent="0.3">
      <c r="K64" s="40"/>
    </row>
    <row r="65" spans="11:11" x14ac:dyDescent="0.3">
      <c r="K65" s="40"/>
    </row>
    <row r="66" spans="11:11" x14ac:dyDescent="0.3">
      <c r="K66" s="40"/>
    </row>
    <row r="67" spans="11:11" x14ac:dyDescent="0.3">
      <c r="K67" s="40"/>
    </row>
    <row r="68" spans="11:11" x14ac:dyDescent="0.3">
      <c r="K68" s="40"/>
    </row>
    <row r="69" spans="11:11" x14ac:dyDescent="0.3">
      <c r="K69" s="40"/>
    </row>
    <row r="70" spans="11:11" x14ac:dyDescent="0.3">
      <c r="K70" s="40"/>
    </row>
    <row r="71" spans="11:11" x14ac:dyDescent="0.3">
      <c r="K71" s="40"/>
    </row>
    <row r="72" spans="11:11" x14ac:dyDescent="0.3">
      <c r="K72" s="40"/>
    </row>
    <row r="73" spans="11:11" x14ac:dyDescent="0.3">
      <c r="K73" s="40"/>
    </row>
    <row r="74" spans="11:11" x14ac:dyDescent="0.3">
      <c r="K74" s="40"/>
    </row>
    <row r="75" spans="11:11" x14ac:dyDescent="0.3">
      <c r="K75" s="40"/>
    </row>
    <row r="76" spans="11:11" x14ac:dyDescent="0.3">
      <c r="K76" s="40"/>
    </row>
    <row r="77" spans="11:11" x14ac:dyDescent="0.3">
      <c r="K77" s="40"/>
    </row>
    <row r="78" spans="11:11" x14ac:dyDescent="0.3">
      <c r="K78" s="40"/>
    </row>
    <row r="79" spans="11:11" x14ac:dyDescent="0.3">
      <c r="K79" s="40"/>
    </row>
    <row r="80" spans="11:11" x14ac:dyDescent="0.3">
      <c r="K80" s="40"/>
    </row>
    <row r="81" spans="11:11" x14ac:dyDescent="0.3">
      <c r="K81" s="40"/>
    </row>
    <row r="82" spans="11:11" x14ac:dyDescent="0.3">
      <c r="K82" s="40"/>
    </row>
    <row r="83" spans="11:11" x14ac:dyDescent="0.3">
      <c r="K83" s="40"/>
    </row>
    <row r="84" spans="11:11" x14ac:dyDescent="0.3">
      <c r="K84" s="40"/>
    </row>
    <row r="85" spans="11:11" x14ac:dyDescent="0.3">
      <c r="K85" s="40"/>
    </row>
    <row r="86" spans="11:11" x14ac:dyDescent="0.3">
      <c r="K86" s="40"/>
    </row>
    <row r="87" spans="11:11" x14ac:dyDescent="0.3">
      <c r="K87" s="40"/>
    </row>
    <row r="88" spans="11:11" x14ac:dyDescent="0.3">
      <c r="K88" s="40"/>
    </row>
    <row r="89" spans="11:11" x14ac:dyDescent="0.3">
      <c r="K89" s="40"/>
    </row>
    <row r="90" spans="11:11" x14ac:dyDescent="0.3">
      <c r="K90" s="40"/>
    </row>
    <row r="91" spans="11:11" x14ac:dyDescent="0.3">
      <c r="K91" s="40"/>
    </row>
    <row r="92" spans="11:11" x14ac:dyDescent="0.3">
      <c r="K92" s="40"/>
    </row>
    <row r="93" spans="11:11" x14ac:dyDescent="0.3">
      <c r="K93" s="40"/>
    </row>
    <row r="94" spans="11:11" x14ac:dyDescent="0.3">
      <c r="K94" s="40"/>
    </row>
    <row r="95" spans="11:11" x14ac:dyDescent="0.3">
      <c r="K95" s="40"/>
    </row>
    <row r="96" spans="11:11" x14ac:dyDescent="0.3">
      <c r="K96" s="40"/>
    </row>
    <row r="97" spans="11:11" x14ac:dyDescent="0.3">
      <c r="K97" s="40"/>
    </row>
    <row r="98" spans="11:11" x14ac:dyDescent="0.3">
      <c r="K98" s="40"/>
    </row>
    <row r="99" spans="11:11" x14ac:dyDescent="0.3">
      <c r="K99" s="40"/>
    </row>
    <row r="100" spans="11:11" x14ac:dyDescent="0.3">
      <c r="K100" s="40"/>
    </row>
    <row r="101" spans="11:11" x14ac:dyDescent="0.3">
      <c r="K101" s="40"/>
    </row>
    <row r="102" spans="11:11" x14ac:dyDescent="0.3">
      <c r="K102" s="40"/>
    </row>
    <row r="103" spans="11:11" x14ac:dyDescent="0.3">
      <c r="K103" s="40"/>
    </row>
    <row r="104" spans="11:11" x14ac:dyDescent="0.3">
      <c r="K104" s="40"/>
    </row>
    <row r="105" spans="11:11" x14ac:dyDescent="0.3">
      <c r="K105" s="40"/>
    </row>
    <row r="106" spans="11:11" x14ac:dyDescent="0.3">
      <c r="K106" s="40"/>
    </row>
    <row r="107" spans="11:11" x14ac:dyDescent="0.3">
      <c r="K107" s="40"/>
    </row>
    <row r="108" spans="11:11" x14ac:dyDescent="0.3">
      <c r="K108" s="40"/>
    </row>
    <row r="109" spans="11:11" x14ac:dyDescent="0.3">
      <c r="K109" s="40"/>
    </row>
    <row r="110" spans="11:11" x14ac:dyDescent="0.3">
      <c r="K110" s="40"/>
    </row>
  </sheetData>
  <conditionalFormatting sqref="K2:K61">
    <cfRule type="cellIs" dxfId="7" priority="4" operator="lessThan">
      <formula>0</formula>
    </cfRule>
    <cfRule type="cellIs" dxfId="6" priority="7" operator="lessThan">
      <formula>0</formula>
    </cfRule>
    <cfRule type="cellIs" dxfId="5" priority="8" operator="lessThan">
      <formula>0</formula>
    </cfRule>
  </conditionalFormatting>
  <conditionalFormatting sqref="K1:K1048576">
    <cfRule type="containsText" dxfId="4" priority="1" operator="containsText" text="Reject / Redesign">
      <formula>NOT(ISERROR(SEARCH("Reject / Redesign",K1)))</formula>
    </cfRule>
    <cfRule type="cellIs" dxfId="3" priority="5" operator="equal">
      <formula>0</formula>
    </cfRule>
    <cfRule type="cellIs" dxfId="2" priority="6" operator="lessThan">
      <formula>"&lt;0"</formula>
    </cfRule>
  </conditionalFormatting>
  <conditionalFormatting sqref="H1:H61 H67:H1048576 M9:M13">
    <cfRule type="cellIs" dxfId="1" priority="3" operator="lessThan">
      <formula>0</formula>
    </cfRule>
  </conditionalFormatting>
  <conditionalFormatting sqref="K7">
    <cfRule type="containsText" dxfId="0" priority="2" operator="containsText" text="Reject / Redesign">
      <formula>NOT(ISERROR(SEARCH("Reject / Redesign",K7)))</formula>
    </cfRule>
  </conditionalFormatting>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0F93-A164-4CCE-9769-39985226C631}">
  <dimension ref="A1:D32"/>
  <sheetViews>
    <sheetView tabSelected="1" zoomScale="64" zoomScaleNormal="46" workbookViewId="0">
      <selection activeCell="D32" sqref="D32"/>
    </sheetView>
  </sheetViews>
  <sheetFormatPr defaultRowHeight="14.4" x14ac:dyDescent="0.3"/>
  <cols>
    <col min="1" max="1" width="22.77734375" customWidth="1"/>
    <col min="2" max="2" width="13.21875" bestFit="1" customWidth="1"/>
    <col min="3" max="3" width="23.77734375" bestFit="1" customWidth="1"/>
    <col min="4" max="4" width="22.109375" customWidth="1"/>
    <col min="5" max="5" width="12.44140625" customWidth="1"/>
    <col min="6" max="10" width="5" bestFit="1" customWidth="1"/>
    <col min="11" max="50" width="6" bestFit="1" customWidth="1"/>
    <col min="51" max="51" width="4" bestFit="1" customWidth="1"/>
    <col min="52" max="59" width="6" bestFit="1" customWidth="1"/>
    <col min="60" max="60" width="7" bestFit="1" customWidth="1"/>
    <col min="61" max="61" width="10.77734375" bestFit="1" customWidth="1"/>
  </cols>
  <sheetData>
    <row r="1" spans="1:4" x14ac:dyDescent="0.3">
      <c r="A1" s="9"/>
      <c r="B1" s="9"/>
      <c r="C1" s="9"/>
      <c r="D1" s="9"/>
    </row>
    <row r="2" spans="1:4" x14ac:dyDescent="0.3">
      <c r="A2" s="17" t="s">
        <v>154</v>
      </c>
      <c r="B2" s="17"/>
      <c r="C2" s="17"/>
      <c r="D2" s="9"/>
    </row>
    <row r="3" spans="1:4" x14ac:dyDescent="0.3">
      <c r="A3" s="10" t="s">
        <v>143</v>
      </c>
      <c r="B3" s="9" t="s">
        <v>144</v>
      </c>
      <c r="D3" s="9"/>
    </row>
    <row r="4" spans="1:4" x14ac:dyDescent="0.3">
      <c r="A4" s="9" t="s">
        <v>12</v>
      </c>
      <c r="B4" s="11">
        <v>37</v>
      </c>
      <c r="D4" s="9"/>
    </row>
    <row r="5" spans="1:4" x14ac:dyDescent="0.3">
      <c r="A5" s="9" t="s">
        <v>25</v>
      </c>
      <c r="B5" s="11">
        <v>23</v>
      </c>
      <c r="D5" s="9"/>
    </row>
    <row r="6" spans="1:4" x14ac:dyDescent="0.3">
      <c r="A6" s="9" t="s">
        <v>136</v>
      </c>
      <c r="B6" s="11">
        <v>60</v>
      </c>
      <c r="D6" s="9"/>
    </row>
    <row r="7" spans="1:4" x14ac:dyDescent="0.3">
      <c r="D7" s="9"/>
    </row>
    <row r="8" spans="1:4" x14ac:dyDescent="0.3">
      <c r="A8" s="17" t="s">
        <v>155</v>
      </c>
      <c r="B8" s="17"/>
      <c r="C8" s="17"/>
      <c r="D8" s="9"/>
    </row>
    <row r="9" spans="1:4" ht="18" customHeight="1" x14ac:dyDescent="0.3">
      <c r="A9" s="10" t="s">
        <v>137</v>
      </c>
      <c r="B9" s="10" t="s">
        <v>146</v>
      </c>
      <c r="C9" s="9"/>
      <c r="D9" s="9"/>
    </row>
    <row r="10" spans="1:4" ht="40.799999999999997" customHeight="1" x14ac:dyDescent="0.3">
      <c r="A10" s="12" t="s">
        <v>143</v>
      </c>
      <c r="B10" s="9" t="s">
        <v>153</v>
      </c>
      <c r="C10" s="9" t="s">
        <v>139</v>
      </c>
      <c r="D10" s="9" t="s">
        <v>136</v>
      </c>
    </row>
    <row r="11" spans="1:4" x14ac:dyDescent="0.3">
      <c r="A11" s="9" t="s">
        <v>12</v>
      </c>
      <c r="B11" s="11">
        <v>33</v>
      </c>
      <c r="C11" s="11">
        <v>4</v>
      </c>
      <c r="D11" s="11">
        <v>37</v>
      </c>
    </row>
    <row r="12" spans="1:4" x14ac:dyDescent="0.3">
      <c r="A12" s="9" t="s">
        <v>25</v>
      </c>
      <c r="B12" s="11">
        <v>22</v>
      </c>
      <c r="C12" s="11">
        <v>1</v>
      </c>
      <c r="D12" s="11">
        <v>23</v>
      </c>
    </row>
    <row r="13" spans="1:4" x14ac:dyDescent="0.3">
      <c r="A13" s="9" t="s">
        <v>136</v>
      </c>
      <c r="B13" s="11">
        <v>55</v>
      </c>
      <c r="C13" s="11">
        <v>5</v>
      </c>
      <c r="D13" s="11">
        <v>60</v>
      </c>
    </row>
    <row r="14" spans="1:4" x14ac:dyDescent="0.3">
      <c r="A14" s="9"/>
      <c r="B14" s="11"/>
      <c r="C14" s="11"/>
      <c r="D14" s="11"/>
    </row>
    <row r="15" spans="1:4" x14ac:dyDescent="0.3">
      <c r="A15" s="17" t="s">
        <v>156</v>
      </c>
      <c r="B15" s="17"/>
      <c r="C15" s="17"/>
      <c r="D15" s="9"/>
    </row>
    <row r="16" spans="1:4" ht="34.200000000000003" customHeight="1" x14ac:dyDescent="0.3">
      <c r="A16" s="12" t="s">
        <v>147</v>
      </c>
      <c r="B16" s="9" t="s">
        <v>148</v>
      </c>
      <c r="C16" s="16" t="s">
        <v>149</v>
      </c>
      <c r="D16" s="9"/>
    </row>
    <row r="17" spans="1:4" x14ac:dyDescent="0.3">
      <c r="A17" s="9" t="s">
        <v>12</v>
      </c>
      <c r="B17" s="13">
        <v>0.17183783783783785</v>
      </c>
      <c r="C17" s="14">
        <v>1.8810810810810814</v>
      </c>
      <c r="D17" s="9"/>
    </row>
    <row r="18" spans="1:4" x14ac:dyDescent="0.3">
      <c r="A18" s="9" t="s">
        <v>138</v>
      </c>
      <c r="B18" s="13">
        <v>0.18484848484848487</v>
      </c>
      <c r="C18" s="14">
        <v>0.91515151515151527</v>
      </c>
      <c r="D18" s="9"/>
    </row>
    <row r="19" spans="1:4" x14ac:dyDescent="0.3">
      <c r="A19" s="9" t="s">
        <v>139</v>
      </c>
      <c r="B19" s="13">
        <v>6.4500000000000002E-2</v>
      </c>
      <c r="C19" s="14">
        <v>9.85</v>
      </c>
      <c r="D19" s="9"/>
    </row>
    <row r="20" spans="1:4" x14ac:dyDescent="0.3">
      <c r="A20" s="9" t="s">
        <v>25</v>
      </c>
      <c r="B20" s="13">
        <v>0.18291304347826087</v>
      </c>
      <c r="C20" s="14">
        <v>1.0260869565217392</v>
      </c>
      <c r="D20" s="9"/>
    </row>
    <row r="21" spans="1:4" x14ac:dyDescent="0.3">
      <c r="A21" s="9" t="s">
        <v>138</v>
      </c>
      <c r="B21" s="13">
        <v>0.1885</v>
      </c>
      <c r="C21" s="14">
        <v>0.65454545454545454</v>
      </c>
      <c r="D21" s="9"/>
    </row>
    <row r="22" spans="1:4" x14ac:dyDescent="0.3">
      <c r="A22" s="9" t="s">
        <v>139</v>
      </c>
      <c r="B22" s="13">
        <v>0.06</v>
      </c>
      <c r="C22" s="14">
        <v>9.1999999999999993</v>
      </c>
      <c r="D22" s="9"/>
    </row>
    <row r="23" spans="1:4" x14ac:dyDescent="0.3">
      <c r="A23" s="9" t="s">
        <v>136</v>
      </c>
      <c r="B23" s="13">
        <v>0.17608333333333334</v>
      </c>
      <c r="C23" s="14">
        <v>1.553333333333333</v>
      </c>
      <c r="D23" s="9"/>
    </row>
    <row r="24" spans="1:4" x14ac:dyDescent="0.3">
      <c r="A24" s="9"/>
      <c r="B24" s="13"/>
      <c r="C24" s="14"/>
      <c r="D24" s="9"/>
    </row>
    <row r="25" spans="1:4" x14ac:dyDescent="0.3">
      <c r="A25" s="17" t="s">
        <v>157</v>
      </c>
      <c r="B25" s="17"/>
      <c r="C25" s="17"/>
      <c r="D25" s="9"/>
    </row>
    <row r="26" spans="1:4" ht="38.4" customHeight="1" x14ac:dyDescent="0.3">
      <c r="A26" s="12" t="s">
        <v>150</v>
      </c>
      <c r="B26" s="16" t="s">
        <v>145</v>
      </c>
      <c r="C26" s="16" t="s">
        <v>151</v>
      </c>
      <c r="D26" s="16" t="s">
        <v>152</v>
      </c>
    </row>
    <row r="27" spans="1:4" x14ac:dyDescent="0.3">
      <c r="A27" s="9" t="s">
        <v>140</v>
      </c>
      <c r="B27" s="11">
        <v>2083.5</v>
      </c>
      <c r="C27" s="14">
        <v>18.725000000000001</v>
      </c>
      <c r="D27" s="11">
        <v>1482.9</v>
      </c>
    </row>
    <row r="28" spans="1:4" x14ac:dyDescent="0.3">
      <c r="A28" s="9" t="s">
        <v>141</v>
      </c>
      <c r="B28" s="11">
        <v>5920.7</v>
      </c>
      <c r="C28" s="14">
        <v>20.777272727272731</v>
      </c>
      <c r="D28" s="11">
        <v>3712.2000000000003</v>
      </c>
    </row>
    <row r="29" spans="1:4" x14ac:dyDescent="0.3">
      <c r="A29" s="9" t="s">
        <v>142</v>
      </c>
      <c r="B29" s="11">
        <v>8294.6</v>
      </c>
      <c r="C29" s="14">
        <v>20.077777777777776</v>
      </c>
      <c r="D29" s="11">
        <v>4728.3999999999996</v>
      </c>
    </row>
    <row r="30" spans="1:4" x14ac:dyDescent="0.3">
      <c r="A30" s="9" t="s">
        <v>136</v>
      </c>
      <c r="B30" s="11">
        <v>16298.800000000001</v>
      </c>
      <c r="C30" s="14">
        <v>19.883333333333333</v>
      </c>
      <c r="D30" s="11">
        <v>9923.4999999999964</v>
      </c>
    </row>
    <row r="31" spans="1:4" x14ac:dyDescent="0.3">
      <c r="A31" s="15"/>
      <c r="B31" s="15"/>
      <c r="C31" s="15"/>
      <c r="D31" s="15"/>
    </row>
    <row r="32" spans="1:4" x14ac:dyDescent="0.3">
      <c r="A32" s="15"/>
      <c r="B32" s="15"/>
      <c r="C32" s="15"/>
      <c r="D32" s="15"/>
    </row>
  </sheetData>
  <mergeCells count="4">
    <mergeCell ref="A2:C2"/>
    <mergeCell ref="A8:C8"/>
    <mergeCell ref="A15:C15"/>
    <mergeCell ref="A25:C25"/>
  </mergeCell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Regional Exploration Data</vt:lpstr>
      <vt:lpstr>Data 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Siti Asih Rahmahaya</cp:lastModifiedBy>
  <dcterms:created xsi:type="dcterms:W3CDTF">2026-07-05T10:18:15Z</dcterms:created>
  <dcterms:modified xsi:type="dcterms:W3CDTF">2026-07-05T13:56:14Z</dcterms:modified>
</cp:coreProperties>
</file>